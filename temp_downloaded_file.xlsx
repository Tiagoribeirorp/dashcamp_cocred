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andromartins\Downloads\"/>
    </mc:Choice>
  </mc:AlternateContent>
  <xr:revisionPtr revIDLastSave="23" documentId="13_ncr:1_{04C8A78C-531F-4A5F-B338-4904B9103A40}" xr6:coauthVersionLast="47" xr6:coauthVersionMax="47" xr10:uidLastSave="{16D89BC9-9586-4277-9A7E-C6745F600274}"/>
  <bookViews>
    <workbookView xWindow="-110" yWindow="-110" windowWidth="19420" windowHeight="10300" xr2:uid="{00000000-000D-0000-FFFF-FFFF00000000}"/>
  </bookViews>
  <sheets>
    <sheet name="Demandas ID" sheetId="1" r:id="rId1"/>
    <sheet name="CONTROLE GERAL" sheetId="4" r:id="rId2"/>
    <sheet name="CONTROLE POR STATUS" sheetId="6" r:id="rId3"/>
    <sheet name="CONTROLE PROJETOS" sheetId="8" r:id="rId4"/>
    <sheet name="PROJETOS E DEMANDAS" sheetId="9" r:id="rId5"/>
    <sheet name="Planilha2" sheetId="2" r:id="rId6"/>
  </sheets>
  <definedNames>
    <definedName name="_xlnm._FilterDatabase" localSheetId="0" hidden="1">'Demandas ID'!$A$1:$M$514</definedName>
  </definedNames>
  <calcPr calcId="191028"/>
  <pivotCaches>
    <pivotCache cacheId="535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5" i="1" l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75" i="1"/>
  <c r="H476" i="1"/>
  <c r="H477" i="1"/>
  <c r="H474" i="1"/>
  <c r="H472" i="1"/>
  <c r="H473" i="1"/>
  <c r="H468" i="1"/>
  <c r="H469" i="1"/>
  <c r="H470" i="1"/>
  <c r="H471" i="1"/>
  <c r="H464" i="1"/>
  <c r="H465" i="1"/>
  <c r="H466" i="1"/>
  <c r="H467" i="1"/>
  <c r="H463" i="1"/>
  <c r="H462" i="1"/>
  <c r="H460" i="1"/>
  <c r="H461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229" i="1"/>
  <c r="H249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240" i="1"/>
  <c r="H241" i="1"/>
  <c r="H242" i="1"/>
  <c r="H243" i="1"/>
  <c r="H45" i="1"/>
  <c r="H46" i="1"/>
  <c r="H41" i="1"/>
  <c r="H42" i="1"/>
  <c r="H43" i="1"/>
  <c r="H355" i="1"/>
  <c r="H356" i="1"/>
  <c r="H357" i="1"/>
  <c r="H358" i="1"/>
  <c r="H359" i="1"/>
  <c r="H324" i="1"/>
  <c r="H325" i="1"/>
  <c r="H326" i="1"/>
  <c r="H266" i="1"/>
  <c r="H267" i="1"/>
  <c r="H268" i="1"/>
  <c r="H269" i="1"/>
  <c r="H270" i="1"/>
  <c r="H271" i="1"/>
  <c r="H272" i="1"/>
  <c r="H273" i="1"/>
  <c r="H274" i="1"/>
  <c r="H202" i="1"/>
  <c r="H203" i="1"/>
  <c r="H204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145" i="1"/>
  <c r="H146" i="1"/>
  <c r="H147" i="1"/>
  <c r="H148" i="1"/>
  <c r="H149" i="1"/>
  <c r="H150" i="1"/>
  <c r="H151" i="1"/>
  <c r="H152" i="1"/>
  <c r="H153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42" i="1"/>
  <c r="H143" i="1"/>
  <c r="H144" i="1"/>
  <c r="H154" i="1"/>
  <c r="H155" i="1"/>
  <c r="H139" i="1"/>
  <c r="H140" i="1"/>
  <c r="H141" i="1"/>
  <c r="H294" i="1"/>
  <c r="H292" i="1"/>
  <c r="H290" i="1"/>
  <c r="H288" i="1"/>
  <c r="H286" i="1"/>
  <c r="H284" i="1"/>
  <c r="H131" i="1"/>
  <c r="H282" i="1"/>
  <c r="H280" i="1"/>
  <c r="H132" i="1"/>
  <c r="H133" i="1"/>
  <c r="H134" i="1"/>
  <c r="H135" i="1"/>
  <c r="H136" i="1"/>
  <c r="H137" i="1"/>
  <c r="H138" i="1"/>
  <c r="H130" i="1"/>
  <c r="H350" i="1"/>
  <c r="H351" i="1"/>
  <c r="H352" i="1"/>
  <c r="H353" i="1"/>
  <c r="H354" i="1"/>
  <c r="H126" i="1"/>
  <c r="H127" i="1"/>
  <c r="H128" i="1"/>
  <c r="H129" i="1"/>
  <c r="H349" i="1"/>
  <c r="H65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28" i="1"/>
  <c r="H329" i="1"/>
  <c r="H330" i="1"/>
  <c r="H331" i="1"/>
  <c r="H332" i="1"/>
  <c r="H333" i="1"/>
  <c r="H334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7" i="1"/>
  <c r="H306" i="1"/>
  <c r="H295" i="1"/>
  <c r="H296" i="1"/>
  <c r="H297" i="1"/>
  <c r="H298" i="1"/>
  <c r="H299" i="1"/>
  <c r="H300" i="1"/>
  <c r="H301" i="1"/>
  <c r="H302" i="1"/>
  <c r="H303" i="1"/>
  <c r="H304" i="1"/>
  <c r="H305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66" i="1"/>
  <c r="H64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75" i="1"/>
  <c r="H276" i="1"/>
  <c r="H277" i="1"/>
  <c r="H278" i="1"/>
  <c r="H279" i="1"/>
  <c r="H281" i="1"/>
  <c r="H283" i="1"/>
  <c r="H285" i="1"/>
  <c r="H287" i="1"/>
  <c r="H289" i="1"/>
  <c r="H291" i="1"/>
  <c r="H293" i="1"/>
  <c r="H251" i="1"/>
  <c r="H250" i="1"/>
  <c r="H248" i="1"/>
  <c r="H47" i="1"/>
  <c r="H44" i="1"/>
  <c r="H245" i="1"/>
  <c r="H205" i="1"/>
  <c r="H208" i="1"/>
  <c r="H206" i="1"/>
  <c r="H207" i="1"/>
  <c r="H247" i="1"/>
  <c r="H246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30" i="1"/>
  <c r="H231" i="1"/>
  <c r="H232" i="1"/>
  <c r="H233" i="1"/>
  <c r="H234" i="1"/>
  <c r="H235" i="1"/>
  <c r="H236" i="1"/>
  <c r="H237" i="1"/>
  <c r="H238" i="1"/>
  <c r="H239" i="1"/>
  <c r="H244" i="1"/>
  <c r="H104" i="1"/>
  <c r="H105" i="1"/>
  <c r="H106" i="1"/>
  <c r="H107" i="1"/>
  <c r="H103" i="1"/>
  <c r="H92" i="1"/>
  <c r="H93" i="1"/>
  <c r="H94" i="1"/>
  <c r="H95" i="1"/>
  <c r="H96" i="1"/>
  <c r="H97" i="1"/>
  <c r="H98" i="1"/>
  <c r="H99" i="1"/>
  <c r="H100" i="1"/>
  <c r="H101" i="1"/>
  <c r="H102" i="1"/>
  <c r="H108" i="1"/>
  <c r="H88" i="1"/>
  <c r="H89" i="1"/>
  <c r="H90" i="1"/>
  <c r="H91" i="1"/>
  <c r="H80" i="1"/>
  <c r="H81" i="1"/>
  <c r="H82" i="1"/>
  <c r="H83" i="1"/>
  <c r="H84" i="1"/>
  <c r="H85" i="1"/>
  <c r="H86" i="1"/>
  <c r="H87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63" i="1"/>
  <c r="H35" i="1"/>
  <c r="H36" i="1"/>
  <c r="H34" i="1"/>
  <c r="H37" i="1"/>
  <c r="H38" i="1"/>
  <c r="H39" i="1"/>
  <c r="H40" i="1"/>
  <c r="H33" i="1"/>
  <c r="H32" i="1"/>
  <c r="H21" i="1"/>
  <c r="H22" i="1"/>
  <c r="H23" i="1"/>
  <c r="H24" i="1"/>
  <c r="H25" i="1"/>
  <c r="H26" i="1"/>
  <c r="H27" i="1"/>
  <c r="H28" i="1"/>
  <c r="H29" i="1"/>
  <c r="H30" i="1"/>
  <c r="H31" i="1"/>
  <c r="H20" i="1"/>
  <c r="H19" i="1"/>
  <c r="H18" i="1"/>
  <c r="H17" i="1"/>
  <c r="H16" i="1"/>
  <c r="H15" i="1"/>
  <c r="H13" i="1"/>
  <c r="H7" i="1"/>
  <c r="H6" i="1"/>
  <c r="H8" i="1"/>
  <c r="H9" i="1"/>
  <c r="H10" i="1"/>
  <c r="H11" i="1"/>
  <c r="H12" i="1"/>
  <c r="H4" i="1"/>
  <c r="H3" i="1"/>
  <c r="H5" i="1"/>
  <c r="H14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2" i="1"/>
</calcChain>
</file>

<file path=xl/sharedStrings.xml><?xml version="1.0" encoding="utf-8"?>
<sst xmlns="http://schemas.openxmlformats.org/spreadsheetml/2006/main" count="3841" uniqueCount="481">
  <si>
    <t>Origem</t>
  </si>
  <si>
    <t>Código Jira</t>
  </si>
  <si>
    <t>Campanha ou Ação</t>
  </si>
  <si>
    <t>Demanda de Comunicação</t>
  </si>
  <si>
    <t>Objetivo</t>
  </si>
  <si>
    <t>Data de Solicitação</t>
  </si>
  <si>
    <t>Deadline</t>
  </si>
  <si>
    <t>Prazo em dias</t>
  </si>
  <si>
    <t>Prioridade</t>
  </si>
  <si>
    <t>Produção</t>
  </si>
  <si>
    <t>Status</t>
  </si>
  <si>
    <t>Status Operacional</t>
  </si>
  <si>
    <t>Observações</t>
  </si>
  <si>
    <t>Branding</t>
  </si>
  <si>
    <t>Campanha de Crédito Automático</t>
  </si>
  <si>
    <t>Produção de roteiro da campanha e aprovação com a equipe de Marketing</t>
  </si>
  <si>
    <t>Alta</t>
  </si>
  <si>
    <t>Ideatore</t>
  </si>
  <si>
    <t>Concluído</t>
  </si>
  <si>
    <t>Aprovado</t>
  </si>
  <si>
    <t>Finalizado</t>
  </si>
  <si>
    <t>Contratação de produtora audiovisual para execução da campanha</t>
  </si>
  <si>
    <t>Média</t>
  </si>
  <si>
    <t>Captação e gravação dos materiais audiovisuais da campanha</t>
  </si>
  <si>
    <t>Produção de vídeo lúdico do produto no formato horizontal</t>
  </si>
  <si>
    <t>Produção de vídeo lúdico do produto no formato vertical</t>
  </si>
  <si>
    <t>Produção de spot de áudio de 30 segundos</t>
  </si>
  <si>
    <t>Elaboração do plano de mídia da campanha</t>
  </si>
  <si>
    <t>Execução e compra de mídia conforme plano aprovado</t>
  </si>
  <si>
    <t>Criação do broadside institucional da campanha</t>
  </si>
  <si>
    <t>Desenvolvimento de e-mail interno para comunicação do lançamento da campanha</t>
  </si>
  <si>
    <t>Desenvolvimento de e-mail interno informando o início da campanha e solicitando compartilhamento pelos colaboradores</t>
  </si>
  <si>
    <t>Desenvolvimento de e-mail marketing para cooperados com foco em conhecimento da campanha</t>
  </si>
  <si>
    <t>Criação do KV da campanha para anúncio de revista em página dupla</t>
  </si>
  <si>
    <t>Criação de anúncio de revista em página simples</t>
  </si>
  <si>
    <t>Criação de outdoor da campanha</t>
  </si>
  <si>
    <t>Criação de card de WhatsApp para apoio comercial dos gerentes</t>
  </si>
  <si>
    <t>Criação de capa para o canal da Cocred no YouTube</t>
  </si>
  <si>
    <t>Criação de capa para a página da Cocred no Facebook</t>
  </si>
  <si>
    <t>Criação de capa para a página da Cocred no LinkedIn</t>
  </si>
  <si>
    <t>Criação de capa para vídeo no YouTube</t>
  </si>
  <si>
    <t>Criação de capa para vídeo no Reels</t>
  </si>
  <si>
    <t>Criação de banner para o site – versão desktop</t>
  </si>
  <si>
    <t>Criação de banner para o site – versão mobile</t>
  </si>
  <si>
    <t>Criação de banner para a intranet</t>
  </si>
  <si>
    <t>Criação de cartaz no formato A2</t>
  </si>
  <si>
    <t>Desenvolvimento de conteúdo para TV interna dos PAs</t>
  </si>
  <si>
    <t>Desenvolvimento de conteúdo para telas de TV em elevadores</t>
  </si>
  <si>
    <t>Criação de material para painel de LED em São José do Rio Preto</t>
  </si>
  <si>
    <t>Criação de material para painel de LED em Marília</t>
  </si>
  <si>
    <t>Planejamento das publicações da campanha nas redes sociais, incluindo derivações de peças</t>
  </si>
  <si>
    <t>Produção de post para o blog institucional</t>
  </si>
  <si>
    <t>Produção de post para a intranet</t>
  </si>
  <si>
    <t>Criação de anúncio em vídeo para Instagram e Facebook, com botão “Clique aqui”, direcionando para a página institucional da Cocred, com foco no aumento de curtidores</t>
  </si>
  <si>
    <t>Marketing e Vendas</t>
  </si>
  <si>
    <t>Criação de LP do Produto na RD Station</t>
  </si>
  <si>
    <t>Pendente</t>
  </si>
  <si>
    <t>Em Produção</t>
  </si>
  <si>
    <t>Aguardando entrega.</t>
  </si>
  <si>
    <t>Anúncio no Google e YouTube, direcionando usuários para a página do produto na landing page da RD Station, segmentado para pessoas com interesse no produto.</t>
  </si>
  <si>
    <t>Anúncio em vídeo no Instagram e Facebook, com botão Clique aqui, direcionando o usuário para a landing page do produto (RD Station), segmentado para interessados no produto.</t>
  </si>
  <si>
    <t>Anúncio estático no Instagram e Facebook, com foco na captação de leads em formulário nativo, segmentado para pessoas interessadas no produto.</t>
  </si>
  <si>
    <t>Anúncio estático no Instagram e Facebook, com passo a passo para contratação do produto pelo App, segmentado para cooperados propensos.</t>
  </si>
  <si>
    <t>Anúncio estático no Instagram e Facebook, com foco na captação de leads, segmentado para público semelhante aos cooperados propensos (lookalike).</t>
  </si>
  <si>
    <t>CRM - E-mail 1 - Cooperados propensos - Objetivo de aquisição pelo APP</t>
  </si>
  <si>
    <t>CRM - E-mail 2 - Cooperados propensos - Objetivo de aquisição pelo APP - Para quem fez aquisição no 1º</t>
  </si>
  <si>
    <t>CRM - E-mail 3 - Cooperados propensos - Objetivo de aquisição pelo APP - Para quem fez aquisição no 2º</t>
  </si>
  <si>
    <t xml:space="preserve">CRM - E-mail 1 - Prospects e Leads - Obejtivo de conversão </t>
  </si>
  <si>
    <t>CRM - E-mail 2 - Prospects e Leads - Objetivo de conversão para quem não abriu no e-mail 1</t>
  </si>
  <si>
    <t>CRM - E-mail 3 - Prospects e Leads - Objetivo de conversão e apresentando os demais produtos</t>
  </si>
  <si>
    <t>Relatório de Resultados da Campanha</t>
  </si>
  <si>
    <t>Baixa</t>
  </si>
  <si>
    <t>Campanha Inauguração Araraquara</t>
  </si>
  <si>
    <t>Stories Redes Sociais - "Chegamos"</t>
  </si>
  <si>
    <t>Teaser Redes Sociais</t>
  </si>
  <si>
    <t>Site - Home</t>
  </si>
  <si>
    <t>Site - Mobile</t>
  </si>
  <si>
    <t>Intranet - Banner Horizontal</t>
  </si>
  <si>
    <t>Convite Wpp</t>
  </si>
  <si>
    <t>Cocred</t>
  </si>
  <si>
    <t>Layout pronto dia 03/02. Alterações de texto feito internamente pelo mkt.</t>
  </si>
  <si>
    <t>Convite Emkt</t>
  </si>
  <si>
    <t>Outdoor</t>
  </si>
  <si>
    <t>Necessário ID Encaminhar os pontos para escolhermos.</t>
  </si>
  <si>
    <t>VT 30''</t>
  </si>
  <si>
    <t>Spot 30''</t>
  </si>
  <si>
    <t>Plano de Mídia</t>
  </si>
  <si>
    <t>Aguardando Aprovação da Cocred</t>
  </si>
  <si>
    <t>Aguardando reunião para validação. Reunião dia 11/02</t>
  </si>
  <si>
    <t>Post informando que estamos com nova agência</t>
  </si>
  <si>
    <t>Post carrossel com fotos da inauguração</t>
  </si>
  <si>
    <t>E-mail já estamos em um novo endereço</t>
  </si>
  <si>
    <t>Post de captação de lead com a arte da nova agência</t>
  </si>
  <si>
    <t xml:space="preserve">LP de Abertura de Conta em Araraquara - Quando patrocinarmos o vídeo, colocar um botão para a LP. </t>
  </si>
  <si>
    <t>FEMEC</t>
  </si>
  <si>
    <t>Planejamento da Feira</t>
  </si>
  <si>
    <t>Circuito Esportivo RLZ</t>
  </si>
  <si>
    <t>Planejamento do Evento</t>
  </si>
  <si>
    <t>Respons. Social</t>
  </si>
  <si>
    <t>Corrida COCRED em Dupla</t>
  </si>
  <si>
    <t>Nova Identidade Visual Corrida</t>
  </si>
  <si>
    <t>22/12/2025 - Entrega do KV 
23/12/2025 - Retorno com considerações no Jira, com solicitação para entrega no dia 29/12/2025. 
29/01/2025 - Foi entregre o "KV" ajustado com algumas peças já criadas.</t>
  </si>
  <si>
    <t>Nova Identidade Corrida COCRED em Dupla</t>
  </si>
  <si>
    <t>22/12/2025 - Entrega da nova Identidade junto com o KV. 
26/12/2025 - Envio de considerações sobre a IDENTIDADE e alteração do naming para CORRIDA COCRED EM DUPLA, além de outras ref. Prazo solicitado de entrega para o dia 07/01.
07/01/2026 - ID mostrou em reunião na COCRED as identidades desenvolvidas, mas não finalizadas. Durante a conversa, foi realizado feedbacks e a entrega ficou combinada para os dias seguintes. 
09/01/2026 - ID enviou para aprovação as novas sugestões de identidade. As opções foram colocadas no Briefing para aprovação da diretoria. 
22/01/2026 - Aprovação da Identidade no Jira</t>
  </si>
  <si>
    <t>Plano de mídia</t>
  </si>
  <si>
    <t xml:space="preserve">14/11/2025 - Foi colocado no Jira a solicitação de desenvolvimento do plano de mídia com base na edição de 2025. 
20/01/2026 - Reforço da solicitação do plano de mídia, já com uma previsão de verba. 
03/02/2026 - Em reunião virtual, foi destacado que ocorreu um desenvolvimento sugestivo de plano de mídia, com opções a serem avaliadas para após validação dos canais e dos meios, ser efeitvado o plano final. O arquivo ficou de ser enviado no mesmo dia. 
04/02/2026 - No aguardo da arquivo com sufestões de mídia.
05/02/2026 - Recebimento das sugestões de mídias para serem trabalhadas. </t>
  </si>
  <si>
    <t xml:space="preserve">Reels informando que as edições 2026 da corrida estão confirmandas </t>
  </si>
  <si>
    <t>28/01/2026 - Entrega do Reels para aprovação, 17h32,  já contendo considerações de ajustes pela ID.
29/01/2026 - Feedbacks da COCRED enviado para ajuste do material.
29/01/2026 - Envio do vídeo ajustado para aprovação. O arquivo foi aprovado e foi publicado internamente.</t>
  </si>
  <si>
    <t>Feed Instagram - Divulgação Grupo VIP, com mensagem de inscrição em breve.</t>
  </si>
  <si>
    <t>29/01/2026 - Recebimento do arquivo para aprovação. 
29/01/2026 - Envio das considerações para ajustes.
30/01/2026 - Foi realizado ajustes pela COCRED no arquivo. O feed foi publicado no mesmo dia.</t>
  </si>
  <si>
    <t>Story - Divulgação Grupo VIP, com mensagem de inscrição em breve.</t>
  </si>
  <si>
    <t>29/01/2026 - Recebimento do arquivo para aprovação. 
29/01/2026 - Envio das considerações para ajustes.
30/01/2026 - Foi realizado ajustes pela COCRED no arquivo. O story foi publicado no mesmo dia.</t>
  </si>
  <si>
    <t>Card Whatsapp - Mensagem de inscrições em breve</t>
  </si>
  <si>
    <t>29/01/2026 - Recebimento do arquivo para aprovação. 
29/01/2026 - Envio das considerações para ajustes.
30/01/2026 - Foi realizado ajustes pela COCRED no arquivo. O Card foi enviado no mesmo dia.</t>
  </si>
  <si>
    <t>Card Whatsapp - Mensagem de inscrições antecipadas</t>
  </si>
  <si>
    <t xml:space="preserve">29/01/2026 - Recebimento do arquivo para aprovação. 
29/01/2026 - Envio das considerações para ajustes.
03/02/2026 - ID Envio para aprovação. Será alterado internamente para já utilização. </t>
  </si>
  <si>
    <t>Feed: Foto PB como utilizada por outras páginas de corrida, com a data da Corrida.</t>
  </si>
  <si>
    <t xml:space="preserve">Item não entregue. Analizando o plano, devido as modificações, pode ser declinado. </t>
  </si>
  <si>
    <t>Feed Carrossel - Informações gerais do evento</t>
  </si>
  <si>
    <t xml:space="preserve">29/01/2026 - Recebimento do arquivo para aprovação. 
29/01/2026 - Envio das considerações para ajustes.
03/02/2026 - ID Envio para aprovação. Será alterado internamente os textos. </t>
  </si>
  <si>
    <t>Stories - Informações gerais do evento</t>
  </si>
  <si>
    <t>Não foi fornecido. Será construido com base no feed carrossel internamente.</t>
  </si>
  <si>
    <t>E-mail - Informações gerais do evento</t>
  </si>
  <si>
    <t xml:space="preserve">Não foi fornecido. Será construido com base no feed, e com o CRM, será executado diretamente na plataforma. </t>
  </si>
  <si>
    <t>SMS - Divulgação das informações levando para a publicação</t>
  </si>
  <si>
    <t xml:space="preserve">Não foi fornecido. Será criado internamente. </t>
  </si>
  <si>
    <t>Story - É amanhã inicío das vendas</t>
  </si>
  <si>
    <t>Feed - Inscrições Abertas</t>
  </si>
  <si>
    <t>Story - Inscrições Abertas</t>
  </si>
  <si>
    <t>E-mail - Inscrições Abertas</t>
  </si>
  <si>
    <t>Feed - Reforço de urgência para venda do lote promocional</t>
  </si>
  <si>
    <t>Ainda não foi enviado.</t>
  </si>
  <si>
    <t>Story - Reforço de urgência para venda do lote promocional</t>
  </si>
  <si>
    <t>E-mail - Reforço de urgência para venda do lote promocional</t>
  </si>
  <si>
    <t>Card Whatsapp - Reforço de urgência para venda do lote promocional</t>
  </si>
  <si>
    <t xml:space="preserve">Feed - Reforço de urgência últimas vagas Lote Promo. </t>
  </si>
  <si>
    <t xml:space="preserve">Story - Reforço de urgência últimas vagas Lote Promo. </t>
  </si>
  <si>
    <t xml:space="preserve">E-mail - Reforço de urgência últimas vagas Lote Promo. </t>
  </si>
  <si>
    <t xml:space="preserve">Card Whatsapp - Reforço de urgência últimas vagas Lote Promo. </t>
  </si>
  <si>
    <t xml:space="preserve">Feed - Mudaça de lote </t>
  </si>
  <si>
    <t xml:space="preserve">Story - Mudaça de lote </t>
  </si>
  <si>
    <t xml:space="preserve">Card Whatsapp - Mudaça de lote </t>
  </si>
  <si>
    <t xml:space="preserve">E-mail - Mudaça de lote </t>
  </si>
  <si>
    <t>Feed - Aproveite o 1º lote</t>
  </si>
  <si>
    <t>Story - Aproveite o 1º lote</t>
  </si>
  <si>
    <t>Card Whatsapp - Aproveite o 1º lote</t>
  </si>
  <si>
    <t>E-mail - Aproveite o 1º lote</t>
  </si>
  <si>
    <t>Compartilhamento do Briefing Aprovado + Solicitação de apoio com ideias para brindes do kit e ações corrida</t>
  </si>
  <si>
    <t>Foi enviado as ideias de brindes para o KIT, estamos avaliando custos para orçamento junto a Noblu.</t>
  </si>
  <si>
    <t xml:space="preserve">Modelos de Medalha </t>
  </si>
  <si>
    <t xml:space="preserve">05/02 - Enviado para aprovação. </t>
  </si>
  <si>
    <t xml:space="preserve">Modelo de Troféu </t>
  </si>
  <si>
    <t>05/02 - Enviado para aprovação.</t>
  </si>
  <si>
    <t>Modelo de Camisetas Atletas</t>
  </si>
  <si>
    <t>Ideias de Ativação Espaço Cooperado COCRED</t>
  </si>
  <si>
    <t>Jornada CRM (E-mail Mkt) 01 - Cooperados Filtrados e Atletas Interessados | Grupo VIP</t>
  </si>
  <si>
    <t xml:space="preserve">Executado internamente, pois foi identificada a possíbilidade do fluxo com a contratação do CRM. Como o prazo era curto, foi feito sem acionar a ID com base no e-mail enviado para aprovação em dias anteriores. </t>
  </si>
  <si>
    <t xml:space="preserve">Jornada CRM (E-mail Mkt) 01 - Cooperados Filtrados e Atletas Interessados | Grupo VIP Abertura antecipada </t>
  </si>
  <si>
    <t>Jornada CRM (E-mail Mkt) 01 - Cooperados Filtrados e Atletas Interessados | É amanhã abertura das vendas no GRUPO VIP</t>
  </si>
  <si>
    <t>Jornada CRM (E-mail Mkt) 01 - Cooperados Filtrados e Atletas Interessados | Vendas Gerais</t>
  </si>
  <si>
    <t>Jornada CRM (E-mail Mkt) 02 - Inscritos | confirmação de inscrição</t>
  </si>
  <si>
    <t>Jornada CRM (E-mail Mkt) 02 - Inscritos Cooperados | Divulgação do espaço cooperado</t>
  </si>
  <si>
    <t>Jornada CRM (E-mail Mkt) 02 - Inscritos Não Cooperados | Abertura de Conta + Espaço cooperado</t>
  </si>
  <si>
    <t>Jornada CRM (E-mail Mkt) 02 - Inscritos | Informativo para atletas patrociados sobre o envio de comprovação para não utilização da camiseta COCRD</t>
  </si>
  <si>
    <t>Jornada CRM (E-mail Mkt) 02 - Inscritos | Informativo sobre funcionamento do tempo Bruto da prova</t>
  </si>
  <si>
    <t>Jornada CRM (E-mail Mkt) 02 - Inscritos | Divulgação do Kit e informações de retirada</t>
  </si>
  <si>
    <t>Jornada CRM (E-mail Mkt) 02 - Inscritos Ingresso solidário | lembrete do alimento</t>
  </si>
  <si>
    <t>Jornada CRM (E-mail Mkt) 02 - Inscritos - Cooperados| Informações da Corrida + Circuito + Espaço Cooperados</t>
  </si>
  <si>
    <t>Jornada CRM (E-mail Mkt) 02 - Inscritos - Não cooperados| Informações da Corrida + Circuito + Espaço Cooperados + Abertura de Conta</t>
  </si>
  <si>
    <t>Jornada CRM (E-mail Mkt) 02 - Inscritos | Pesquisa de Satisfação + Confirmação Corrida de Sertãozinho</t>
  </si>
  <si>
    <t>Jornada CRM (E-mail Mkt) 02 - Inscritos Derivação | Pesquisa de Satisfação + Confirmação Corrida de Sertãozinho</t>
  </si>
  <si>
    <t>Jornada CRM (E-mail Mkt) 02 - Inscritos Não cooperados| Agradecer participação + Abertura de Conta</t>
  </si>
  <si>
    <t>Jornada CRM (E-mail Mkt) 02 - Inscritos | Dicas de saúde: preparo para a prova e recuperação</t>
  </si>
  <si>
    <t>Jornada CRM (E-mail Mkt) 02 - Inscritos | Retirada de Kit por terceiros e passo a passo de como enviar o documento necessário</t>
  </si>
  <si>
    <t>Jornada CRM (E-mail Mkt) 03 - Abancodono de Carrinho - 1º chamada após o abandono, reforçando o valor do lote e ingresso solidário</t>
  </si>
  <si>
    <t>Jornada CRM (E-mail Mkt) 03 - Abancodono de Carrinho - Lembrete de mudança de lote Promocional Para 1º lote</t>
  </si>
  <si>
    <t>Jornada CRM (E-mail Mkt) 03 - Abancodono de Carrinho - Lembrete de mudança de 1º lote para 2º</t>
  </si>
  <si>
    <t>Jornada CRM (E-mail Mkt) 03 - Abancodono de Carrinho - Lembrete de mudança de 2º lote para 3º</t>
  </si>
  <si>
    <t>E-mail Geral informando | Sold out Corrida</t>
  </si>
  <si>
    <t>Lading Page de abertua de conta digital</t>
  </si>
  <si>
    <t>COCRED COMUNIDADE</t>
  </si>
  <si>
    <t>Solicitação de novo naming para o instagram CONTA COM A COCRED</t>
  </si>
  <si>
    <t>19/01 - Envio de PPTX com sugestões de naming e logo.
19/01 - Envio de feedbacks, cocred, para ajustes e decisão de seguir com o naming COCRED COMUNIDADE com solicitação da ID ajustada para o dia 21/01
21/01 - Arquivo enviado com os ajustes necessários. Como ele precisava ser inserido no briefing para a diretoria, foi realizado um pequeno ajuste internamente. 
27/01 - Identidade aprovada pela diretoria</t>
  </si>
  <si>
    <t>Solicitação de KV de como o conteúdo será trabalhado na página</t>
  </si>
  <si>
    <t xml:space="preserve">19/01 - O KV foi aparovado. </t>
  </si>
  <si>
    <t xml:space="preserve">Carrossel com levantamento de educação social e educacional </t>
  </si>
  <si>
    <t xml:space="preserve">19/01 - O Carrossel foi exeutado como forma de KV, o design foi aprovado. Esse arquivo está passando por ajustes interno, textos, para facilitar a aprovação. </t>
  </si>
  <si>
    <t xml:space="preserve">E-mail interno comunicando a mudança para os colaboradores </t>
  </si>
  <si>
    <t>COCRED: Ajuste do Carrossel para derivação do e-mail, para acelerar a comunicação.</t>
  </si>
  <si>
    <t>Roteiro: Vídeo Manifesto</t>
  </si>
  <si>
    <t>Parado</t>
  </si>
  <si>
    <t xml:space="preserve">02/02 - Recebimento do roteiro do manifesto no Jira. Ele está em ajustes interno, com a Lari, para aprovação. </t>
  </si>
  <si>
    <t xml:space="preserve">Execução Vídeo Manifesto </t>
  </si>
  <si>
    <t xml:space="preserve">ID está aguardando o roteiro aprovado. </t>
  </si>
  <si>
    <t xml:space="preserve">Estudo/Avaliação de criação do canal no youtube e tik tok para a COCRED COMUNIDADE; </t>
  </si>
  <si>
    <t>Planejamento de conteúdo para a mídia COCRED COMUNIDADE, com estudo de editorias e estratégia da mída</t>
  </si>
  <si>
    <t>Curso Conta com a COCRED</t>
  </si>
  <si>
    <t>Desenvolvimento do KV para a edição 2026</t>
  </si>
  <si>
    <t>07/01 - Enviado para aprovação.</t>
  </si>
  <si>
    <t>Desenvolvimento de Lading page universitário e jovem para inscrição</t>
  </si>
  <si>
    <t>Solicitação do plano de comunicação para Edição Universitária</t>
  </si>
  <si>
    <t>Apoio para ideias de kit (brindes) para os participantes</t>
  </si>
  <si>
    <t>01 - Cards de whatsapp para conversa com os alunos | Antifragil | textos enviado para execução de desing</t>
  </si>
  <si>
    <t>2 - Cards de whatsapp para conversa com os alunos | Antifragil | textos enviado para execução de desing</t>
  </si>
  <si>
    <t>3 - Cards de whatsapp para conversa com os alunos | Antifragil | textos enviado para execução de desing</t>
  </si>
  <si>
    <t>4 - Cards de whatsapp para conversa com os alunos | Antifragil | textos enviado para execução de desing</t>
  </si>
  <si>
    <t>5 - Cards de whatsapp para conversa com os alunos | Antifragil | textos enviado para execução de desing</t>
  </si>
  <si>
    <t>6 - Cards de whatsapp para conversa com os alunos | Antifragil | textos enviado para execução de desing</t>
  </si>
  <si>
    <t>7 - Cards de whatsapp para conversa com os alunos | Antifragil | textos enviado para execução de desing</t>
  </si>
  <si>
    <t>8 - Cards de whatsapp para conversa com os alunos | Antifragil | textos enviado para execução de desing</t>
  </si>
  <si>
    <t>9 - Cards de whatsapp para conversa com os alunos | Antifragil | textos enviado para execução de desing</t>
  </si>
  <si>
    <t>10 - Cards de whatsapp para conversa com os alunos | Antifragil | textos enviado para execução de desing</t>
  </si>
  <si>
    <t>Coopera Saber</t>
  </si>
  <si>
    <t>Identidade Visual do Projeto</t>
  </si>
  <si>
    <t>Solicitação de Ajustes para a ID</t>
  </si>
  <si>
    <t xml:space="preserve">Em visualização interna para envio das considerações. </t>
  </si>
  <si>
    <t>KV do Projeto</t>
  </si>
  <si>
    <t>Cinema na Praça</t>
  </si>
  <si>
    <t>Nova Identidade para o Cinema na Praça, pois não será mais Circuito Cultural</t>
  </si>
  <si>
    <t>05/02/2026 - Recebimento do arquivo.
09/02/2026 - COCRED: envio de solicitação de ajustes.</t>
  </si>
  <si>
    <t>Novo KV para edições de 2026</t>
  </si>
  <si>
    <t>Vídeo de abertura do cinema - informativos</t>
  </si>
  <si>
    <t>Vídeo intitucional sobre cooperativismo</t>
  </si>
  <si>
    <t xml:space="preserve">Spot para rádio e carro de som </t>
  </si>
  <si>
    <t>Revista</t>
  </si>
  <si>
    <t>Jornal Local</t>
  </si>
  <si>
    <t>Modelos de e-mail marketing externo</t>
  </si>
  <si>
    <t>Modelos de e-mail marketing interno</t>
  </si>
  <si>
    <t xml:space="preserve">Modelos de card de whatsapp </t>
  </si>
  <si>
    <t>Impresso A3</t>
  </si>
  <si>
    <t>Folder</t>
  </si>
  <si>
    <t>Imagina animada recomendando as páginas da COCRED</t>
  </si>
  <si>
    <t xml:space="preserve">Imagem ilustrada com QR Code com confirmação de presença </t>
  </si>
  <si>
    <t xml:space="preserve">PPTX com ideias de brinde - como copo de pipoca </t>
  </si>
  <si>
    <t>Lona caminhão</t>
  </si>
  <si>
    <t>Faixa adesivo tela cinema</t>
  </si>
  <si>
    <t xml:space="preserve">Faixas gradil </t>
  </si>
  <si>
    <t xml:space="preserve">Itens promocionais - como possível backdrop </t>
  </si>
  <si>
    <t xml:space="preserve">Voluntário Transformador </t>
  </si>
  <si>
    <t>Kit de e-mails internos - 24 peças - com informações para converter novos voluntários</t>
  </si>
  <si>
    <t>E-mail boas vidas a novos voluntários</t>
  </si>
  <si>
    <t>E-mail: faça parte do grupo de whatsapp de voluntários</t>
  </si>
  <si>
    <t>E-mail: Qual projeto mais combina com vocÊ. Escolha em quais ações deseja fazer parte</t>
  </si>
  <si>
    <t>E-mail: Impacto mensal das ações</t>
  </si>
  <si>
    <t>E-mail: O que ocorreu no mês X. Com informações das ações</t>
  </si>
  <si>
    <t>E-mail: Reconhecimento de voluntáriados</t>
  </si>
  <si>
    <t>E-mail: Seja um voluntário na ação X</t>
  </si>
  <si>
    <t xml:space="preserve">Cards para whatsapp </t>
  </si>
  <si>
    <t>Peça de reconhecumento - Voluntário do mês</t>
  </si>
  <si>
    <t xml:space="preserve">Peça de reconhecimento - ações </t>
  </si>
  <si>
    <t>Peça de reconhecimento - Agradecimentos</t>
  </si>
  <si>
    <t>E-mails fomentando, informando, cada projeto para a equipe</t>
  </si>
  <si>
    <t xml:space="preserve">Cards para divulgação e adesão de novos voluntários </t>
  </si>
  <si>
    <t>Evento dia 12/02 - Convite oficial e-mail</t>
  </si>
  <si>
    <t xml:space="preserve">Evento dia 12/02 - Convite oficial whatsapp </t>
  </si>
  <si>
    <t>Evento dia 12/02 - E-mail de lembrete</t>
  </si>
  <si>
    <t>Evento dia 12/02 - E-mail de vai começar</t>
  </si>
  <si>
    <t>Evento dia do voluntáriado: apoio com ideas e ações</t>
  </si>
  <si>
    <t>Evento dia do voluntáriado: Save the date 04/12</t>
  </si>
  <si>
    <t>Evento dia do voluntáriado: Convite</t>
  </si>
  <si>
    <t xml:space="preserve">Evento dia do voluntáriado: cards de divulgação no grupo </t>
  </si>
  <si>
    <t>Evento dia do voluntáriado: e-mail interno informando a ação</t>
  </si>
  <si>
    <t xml:space="preserve">Evento dia do voluntáriado: peças para divulgação de premios </t>
  </si>
  <si>
    <t>Ideias de Kit Brindes para voluntáriados</t>
  </si>
  <si>
    <t>CãoMinhada</t>
  </si>
  <si>
    <t>Alinhamento de ideias para desenvolvimento do evento</t>
  </si>
  <si>
    <t>Identidade Projeto</t>
  </si>
  <si>
    <t>Comunicação Visual da Nova Identidade</t>
  </si>
  <si>
    <t>Vitrine dos PAs</t>
  </si>
  <si>
    <t>Obs.: Quando o Dal aprovar, vai ter que desmembrar as vitrines para 42 PA´s</t>
  </si>
  <si>
    <t>Placa de Rodovia 15x5m</t>
  </si>
  <si>
    <t>Obs.: Falta o Dal aprovar</t>
  </si>
  <si>
    <t>Placa de Rodovia 18x6m</t>
  </si>
  <si>
    <t>Relógios da praça e parque linear</t>
  </si>
  <si>
    <t>Obs.: Material internalizado</t>
  </si>
  <si>
    <t>Campanha de Crédito PJ</t>
  </si>
  <si>
    <t>Produção de roteiro do vídeo da campanha e aprovação com a equipe de Marketing</t>
  </si>
  <si>
    <t>Produção de roteiro do spot da campanha e aprovação com a equipe de Marketing</t>
  </si>
  <si>
    <t>Entrega de vídeo comercial do produto no formato horizontal</t>
  </si>
  <si>
    <t>Entrega de vídeo comercial do produto no formato vertical</t>
  </si>
  <si>
    <t>Criação de KV - card de WhatsApp para apoio comercial dos gerentes</t>
  </si>
  <si>
    <t>Criação de e-mail marketing para cooperados propensos ao produto (início de jornada - conta digital)</t>
  </si>
  <si>
    <t>Criação de e-mail marketing para leads propensos ao produto (início de jornada - conta digital)</t>
  </si>
  <si>
    <t>Criação de banner para o site – versão desktop (1920x854)</t>
  </si>
  <si>
    <t>Criação de banner para o site – versão mobile (768x940)</t>
  </si>
  <si>
    <t>Criação de banner para o site – versão mobile (643x278)</t>
  </si>
  <si>
    <t>Criação de banner para o site – versão mobile (453x580)</t>
  </si>
  <si>
    <t>Criação de banner para a intranet com nova dimensão - (1008 px de largura x 553 px de altura)</t>
  </si>
  <si>
    <t>Desenvolvimento de conteúdo para TV interna dos PAs (1920x1080)</t>
  </si>
  <si>
    <t xml:space="preserve">Planejamento de conteúdo nas mídias sociais com derivações da campanha </t>
  </si>
  <si>
    <t>Post para blog institucional (produção interna)</t>
  </si>
  <si>
    <t xml:space="preserve">Configuração de anúncio no Google e YouTube, direcionando usuários para a LP do produto na RD Station, segmentado para pessoas com interesse no produto (não cooperados), com chamada para abertura de conta digital. </t>
  </si>
  <si>
    <t xml:space="preserve">Anúncio em vídeo no Instagram e Facebook, com botão Clique aqui, direcionando o usuário para a LP do produto (RD Station), segmentado para interessados (não cooperados) com chamada para abertura de conta digital. </t>
  </si>
  <si>
    <t xml:space="preserve">Anúncio estático no Instagram e Facebook, com foco na captação de leads em formulário nativo, segmentado para pessoas interessadas no produto (não cooperados), por meio de configuração manual, com chamada para abertura de conta digital. </t>
  </si>
  <si>
    <t xml:space="preserve">Anúncio estático no Instagram e Facebook, com passo a passo para contratação do produto pelo App, segmentado para cooperados propensos. </t>
  </si>
  <si>
    <t>CRM - desenvolvimento de jornadas para propensos</t>
  </si>
  <si>
    <t>CRM - desenvolvimento de jornadas para leads e prospects</t>
  </si>
  <si>
    <t>CRM - Criação de artes dos e-mails de propensos</t>
  </si>
  <si>
    <t>CRM - Criação de artes dos e-mails de cooperados</t>
  </si>
  <si>
    <t>Anúncio estático no Instagram e Facebook, com foco na captação de leads em formulário nativo, segmentado para público semelhante aos cooperados propensos (lookalike para não cooperados) com chamada para abertura de conta digital.</t>
  </si>
  <si>
    <t>Cronograma Mídias Sociais FEVEREIRO</t>
  </si>
  <si>
    <t>Cronograma com os posts que serão publicados no mês de Fevereiro</t>
  </si>
  <si>
    <t>Relatório de Mídias Sociais - Janeiro</t>
  </si>
  <si>
    <t>Relatório para saber nossa evolução nas redes - mensal</t>
  </si>
  <si>
    <t>Posts Banco de Talentos</t>
  </si>
  <si>
    <t>Posts para o LinkedIn Endomarketing</t>
  </si>
  <si>
    <t>Obs.: Eu solicitei 3 posts desse por mês. Ainda precisa produzir 6 artes. Depois ficam mais 3 para março.</t>
  </si>
  <si>
    <t>Posts Carrossel Revista COCRED MAIS</t>
  </si>
  <si>
    <t>Pacote de 3 posts carrossel para dilvugação da revista</t>
  </si>
  <si>
    <t>Obs.: Vamos enviar os textos de 3 em 3 posts.</t>
  </si>
  <si>
    <t>Diretoria</t>
  </si>
  <si>
    <t>Campanha de Governança</t>
  </si>
  <si>
    <t>Solicitação de planejamento da campanha</t>
  </si>
  <si>
    <t>Compra de Mídia</t>
  </si>
  <si>
    <t>KV - Banner G1</t>
  </si>
  <si>
    <t>Banner G1 - Geral BILLBOARD (970x250)​</t>
  </si>
  <si>
    <t>Banner G1 - Geral MEIA PÁGINA (300 x 600) ​</t>
  </si>
  <si>
    <t>Banner G1 - Geral RETÂNGULO MÉDIO (300 x 250)​</t>
  </si>
  <si>
    <t>Banner G1 - NATIVE CARROSSEL (400 x 300)​</t>
  </si>
  <si>
    <t>Banner G1 - NATIVE CARROSSEL (424 x 237)​</t>
  </si>
  <si>
    <t>Post MS - Destaque como a 1 ª a ter um comitê de ativos - Instagram, Facebook e LinkedIn</t>
  </si>
  <si>
    <t>Post MS - Carrossel sobre o Alco - Instagram, Facebook e LinkedIn</t>
  </si>
  <si>
    <t>Roteiro - Vídeo sobre a solidez da Cocred - Instagram, Facebook e LinkedIn</t>
  </si>
  <si>
    <t>Captação - gravação de campanha sobre a solidez da cooperativa para as mídias sociais</t>
  </si>
  <si>
    <t>Post Blog - A COCRED e a inovação do ALCO: governança estratégica a serviço da solidez financeira</t>
  </si>
  <si>
    <t>Post Blog - Investimento e segurança: os diferenciais de investir em uma cooperativa de crédito</t>
  </si>
  <si>
    <t>Post Instagram e LinkedIn - derivação Blog - Investimento e segurança: os diferenciais de investir em uma cooperativa de crédito</t>
  </si>
  <si>
    <t>Post Blog - Sustentabilidade financeira na COCRED: 56 anos construindo confiança</t>
  </si>
  <si>
    <t>Post Instagram e LinkedIn - derivação Blog - Sustentabilidade financeira na COCRED: 56 anos construindo confiança</t>
  </si>
  <si>
    <t>Post Blog - Cenário internacional e mercado brasileiro: como a COCRED protege o seu investimento</t>
  </si>
  <si>
    <t>Post Instagram e LinkedIn - derivação Blog - Cenário internacional e mercado brasileiro: como a COCRED protege o seu investimento</t>
  </si>
  <si>
    <t>Post Blog - Gestão de riscos na COCRED: como fortalecemos a segurança dos seus investimentos</t>
  </si>
  <si>
    <t>Post Instagram e LinkedIn - derivação Blog - Gestão de riscos na COCRED: como fortalecemos a segurança dos seus investimentos</t>
  </si>
  <si>
    <t>Post Blog - Indicadores financeiros e transparência: o que eles revelam sobre a saúde do seu Investimento</t>
  </si>
  <si>
    <t>Post Instagram e LinkedIn - derivação Blog - Indicadores financeiros e transparência: o que eles revelam sobre a saúde do seu Investimento</t>
  </si>
  <si>
    <t>Informe Publicitário G1</t>
  </si>
  <si>
    <t>Informe Publicitário Revide</t>
  </si>
  <si>
    <t>Banner - Portais Editora Globo (mesmo formato)</t>
  </si>
  <si>
    <t>Banner - Portal Infomoney (mesmo formato)</t>
  </si>
  <si>
    <t>Pauta CBN 1 - Roteiro de Entrevistas</t>
  </si>
  <si>
    <t>Gravação - Pauta CBN 1</t>
  </si>
  <si>
    <t>Pauta CBN 2 - Roteiro de Entrevistas</t>
  </si>
  <si>
    <t>Gravação - Pauta CBN 2</t>
  </si>
  <si>
    <t>Pauta CBN 3 - Roteiro de Entrevistas</t>
  </si>
  <si>
    <t>Gravação - Pauta CBN 3</t>
  </si>
  <si>
    <t>Pauta CBN 4 - Roteiro de Entrevistas</t>
  </si>
  <si>
    <t>Gravação - Pauta CBN 4</t>
  </si>
  <si>
    <t>Pauta Jovem Pan 1 - Roteiro de Entrevistas</t>
  </si>
  <si>
    <t>Gravação - Pauta Jovem Pan 1</t>
  </si>
  <si>
    <t>Pauta Jovem Pan 2 - Roteiro de Entrevistas</t>
  </si>
  <si>
    <t>Gravação - Pauta Jovem Pan 2</t>
  </si>
  <si>
    <t>Pauta Jovem Pan 3 - Roteiro de Entrevistas</t>
  </si>
  <si>
    <t>Gravação - Pauta Jovem Pan 3</t>
  </si>
  <si>
    <t>Pauta Jovem Pan 4 - Roteiro de Entrevistas</t>
  </si>
  <si>
    <t>Gravação - Pauta Jovem Pan 4</t>
  </si>
  <si>
    <t xml:space="preserve">Configuração de anúncio no linkedIn, com objetivo de alcance e engajamento, com o clique aqui direcionando o usuário para matéria sobre o tema no G1. Se possível, fazer esse anúncio com o vídeo da campanha. Caso contrário, utilizar post estático. </t>
  </si>
  <si>
    <t>Configuração de anúncio na Meta, com objetivo de alcance e engajamento, com o clique aqui direcionando o usuário para matéria sobre o tema no G1. Fazer esse anúncio com o vídeo da campanha.</t>
  </si>
  <si>
    <t>Gestão em Foco</t>
  </si>
  <si>
    <t>Desenvolvimento do KV do evento</t>
  </si>
  <si>
    <t>Entregue.</t>
  </si>
  <si>
    <t>Desenvolvimento do nome do evento</t>
  </si>
  <si>
    <t>Criação de convite - Whatsapp</t>
  </si>
  <si>
    <t>Mudanças no texto.</t>
  </si>
  <si>
    <t>Criação de convite - E-mail</t>
  </si>
  <si>
    <t>Criação de convite - Impresso</t>
  </si>
  <si>
    <t>Criação de comunicado interno para e-mail - Avisando colaboradores do uso do auditório</t>
  </si>
  <si>
    <t>Criação de lembrete por e-mail: É amanhã!</t>
  </si>
  <si>
    <t>Sugestão de brindes</t>
  </si>
  <si>
    <t>Aplicação da marca em brindes</t>
  </si>
  <si>
    <t>Sugestão de ativação durante o evento</t>
  </si>
  <si>
    <t>Criação de modelo de credencial</t>
  </si>
  <si>
    <t>Atualização de TVs internas</t>
  </si>
  <si>
    <t>Atualização do vídeo : Institucional</t>
  </si>
  <si>
    <t>Alterações de textos e imagens.</t>
  </si>
  <si>
    <t>Atualização do vídeo : Investimentos</t>
  </si>
  <si>
    <t>Atualização do vídeo : CPRF</t>
  </si>
  <si>
    <t>Atualização do vídeo : Open finance</t>
  </si>
  <si>
    <t>Atualização do vídeo : Produtos e Serviços</t>
  </si>
  <si>
    <t>Atualização do vídeo : Cheque especial</t>
  </si>
  <si>
    <t>Atualização do vídeo : Crédito Automático</t>
  </si>
  <si>
    <t>Atualização do vídeo : Consórcios</t>
  </si>
  <si>
    <t>Atualização do vídeo : Sipag</t>
  </si>
  <si>
    <t>Atualização do vídeo : Cartões</t>
  </si>
  <si>
    <t>Atualização do vídeo : Crédito Rural</t>
  </si>
  <si>
    <t>Atualização do vídeo : Abertura de conta</t>
  </si>
  <si>
    <t>Sucessão Familiar</t>
  </si>
  <si>
    <t>Desenvolver nome para o evento</t>
  </si>
  <si>
    <t>Desenvolver KV para o evento</t>
  </si>
  <si>
    <t>Aplicar a marca em brindes</t>
  </si>
  <si>
    <t xml:space="preserve">Sugestão de brindes </t>
  </si>
  <si>
    <t>Revisão e melhorias no briefing inicial</t>
  </si>
  <si>
    <t>Desenvolver ideais para ativação no evento</t>
  </si>
  <si>
    <t>Desenho do fluxo de comunicação pré, durante e pós evento</t>
  </si>
  <si>
    <t>Campanha Indique e Ganhe</t>
  </si>
  <si>
    <t>Peças conceito para o digital: Redes Sociais</t>
  </si>
  <si>
    <t>Peças conceito para o digital: LP</t>
  </si>
  <si>
    <t>Peças conceito para o digital: Pushs</t>
  </si>
  <si>
    <t>Peças conceito para impresso: Cartazes</t>
  </si>
  <si>
    <t>Aplicação da Marca em brindes</t>
  </si>
  <si>
    <t>Jornadas CRM - Fixas</t>
  </si>
  <si>
    <t>Criação de e-mails para jornada de onboarding</t>
  </si>
  <si>
    <t>Criação de e-mails para jornada de leads</t>
  </si>
  <si>
    <t>Criação de e-mails para jornada de aniversariantes</t>
  </si>
  <si>
    <t>Criação de e-mails para jornada de Reativação</t>
  </si>
  <si>
    <t>Top 10 - Redes Sociais</t>
  </si>
  <si>
    <t>Seleção dos posts mais engajados de 2025 para reutilização em Dark post 2026 - Crédito pessoal;</t>
  </si>
  <si>
    <t>Seleção dos posts mais engajados de 2025 para reutilização em Dark post 2026 - Crédito rural;</t>
  </si>
  <si>
    <t>Seleção dos posts mais engajados de 2025 para reutilização em Dark post 2026 - Crédito PJ;</t>
  </si>
  <si>
    <t>Seleção dos posts mais engajados de 2025 para reutilização em Dark post 2026 - Investimentos;</t>
  </si>
  <si>
    <t>Seleção dos posts mais engajados de 2025 para reutilização em Dark post 2026 - Cartões;</t>
  </si>
  <si>
    <t>Seleção dos posts mais engajados de 2025 para reutilização em Dark post 2026 - Sipag;</t>
  </si>
  <si>
    <t>Seleção dos posts mais engajados de 2025 para reutilização em Dark post 2026 - Seguros;</t>
  </si>
  <si>
    <t>Seleção dos posts mais engajados de 2025 para reutilização em Dark post 2026 - Consórcios;</t>
  </si>
  <si>
    <t>EXPOZEBU</t>
  </si>
  <si>
    <t xml:space="preserve">Plano de mídia - Desenvolvimento, orçamento e sugestões </t>
  </si>
  <si>
    <t>AGRISHOW</t>
  </si>
  <si>
    <t>AGRONEGÓCIO COPERCANA</t>
  </si>
  <si>
    <t>MEGACANA</t>
  </si>
  <si>
    <t>FENASUCRO</t>
  </si>
  <si>
    <t>Agro em foco</t>
  </si>
  <si>
    <t>Desenvolver ideias de brindes</t>
  </si>
  <si>
    <t>Desenvolver KV do evento</t>
  </si>
  <si>
    <t>Empresa em foco</t>
  </si>
  <si>
    <t>Campanha de Conta Digital</t>
  </si>
  <si>
    <t>Criação de KV - e-mail marketing para leads propensos ao produto (início de jornada - conta digital)</t>
  </si>
  <si>
    <t xml:space="preserve">Criação de e-mail marketing para usuários de produtos do Sicoob que ainda não são cooperados, como os poupadores, por exemplo. </t>
  </si>
  <si>
    <t xml:space="preserve">Anúncio em vídeo no Instagram e Facebook, com botão Clique aqui, direcionando o usuário para a LP do produto (RD Station), segmentado para usuários de produtos do Sicoob que ainda não são cooperados, como os poupadores, por exemplo. </t>
  </si>
  <si>
    <t xml:space="preserve">Anúncio em vídeo no Instagram e Facebook, com botão Clique aqui, direcionando o usuário para a LP do produto (RD Station), segmentado para interessados (não cooperados), por meio de configuração manual, com chamada para abertura de conta digital. </t>
  </si>
  <si>
    <t xml:space="preserve">Anúncio estático no Instagram e Facebook, com passo a passo para contratação do produto pelo App, segmentado para usuários de produtos do Sicoob que ainda não são cooperados, como os poupadores, por exemplo. </t>
  </si>
  <si>
    <t>Campanha de Investimentos</t>
  </si>
  <si>
    <t>Campanha de Consórcios</t>
  </si>
  <si>
    <t>Endomarketing</t>
  </si>
  <si>
    <t>Dia das Mulheres 2026</t>
  </si>
  <si>
    <t>KV</t>
  </si>
  <si>
    <t>Páscoa 2026</t>
  </si>
  <si>
    <t>Evento Institucional - encontro anual de colaboradores</t>
  </si>
  <si>
    <t>Logo</t>
  </si>
  <si>
    <t>Novos Canais de Comunicação Interna</t>
  </si>
  <si>
    <t>Recertificação GPTW</t>
  </si>
  <si>
    <t>Geração Coop</t>
  </si>
  <si>
    <t>Atualização de peças - nova identidade</t>
  </si>
  <si>
    <t>Email 1 bolsa de estudos</t>
  </si>
  <si>
    <t>Email 2 bolsa de estudos</t>
  </si>
  <si>
    <t>Email 3 bolsa de estudos</t>
  </si>
  <si>
    <t>Carta welcome kit</t>
  </si>
  <si>
    <t>Carta auxilio enxoval</t>
  </si>
  <si>
    <t>Envelope auxílio enxoval</t>
  </si>
  <si>
    <t>E-mail 1 promoção cargo e salários</t>
  </si>
  <si>
    <t>E-mail 2 promoção cargo e salários</t>
  </si>
  <si>
    <t>E-mail 3 promoção cargo e salários</t>
  </si>
  <si>
    <t>E-mail 4 promoção cargo e salários</t>
  </si>
  <si>
    <t>Mérito 1</t>
  </si>
  <si>
    <t>Mérito 2</t>
  </si>
  <si>
    <t>Manual boas práticas em reunião</t>
  </si>
  <si>
    <t>Manual colaborador</t>
  </si>
  <si>
    <t>Manual centro administrativo</t>
  </si>
  <si>
    <t>E-mail tempo de casa</t>
  </si>
  <si>
    <t>Logo para o programa: Elas por elas</t>
  </si>
  <si>
    <t>Logo para o programa de Formação de Gerente de Contas</t>
  </si>
  <si>
    <t>Logo para o programa GPC em Ação</t>
  </si>
  <si>
    <t>E-mails Marketing - Integração</t>
  </si>
  <si>
    <t>E-mail 1</t>
  </si>
  <si>
    <t>E-mail 2</t>
  </si>
  <si>
    <t>E-mail 3</t>
  </si>
  <si>
    <t>E-mail 4</t>
  </si>
  <si>
    <t>E-mail 5</t>
  </si>
  <si>
    <t>E-mail 6</t>
  </si>
  <si>
    <t>E-mail 7</t>
  </si>
  <si>
    <t>E-mail 8</t>
  </si>
  <si>
    <t>Adaptação nova identidade - Manual PGD</t>
  </si>
  <si>
    <t>Manual PGD</t>
  </si>
  <si>
    <t>Adaptação nova identidade - Manual PGD 2</t>
  </si>
  <si>
    <t>Manual PGD 2</t>
  </si>
  <si>
    <t>(Tudo)</t>
  </si>
  <si>
    <t>Rótulos de Linha</t>
  </si>
  <si>
    <t>Contagem de Deadline</t>
  </si>
  <si>
    <t>Total Geral</t>
  </si>
  <si>
    <t>Contagem de Campanha ou Ação</t>
  </si>
  <si>
    <t>Rótulos de Coluna</t>
  </si>
  <si>
    <t>Contagem de Data de Solicitação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</si>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</sst>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0">
    <font>
      <sz val="11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00A091"/>
        <bgColor indexed="64"/>
      </patternFill>
    </fill>
  </fills>
  <borders count="3">
    <border>
      <left/>
      <right/>
      <top/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0" fillId="0" borderId="1" xfId="0" applyBorder="1"/>
    <xf numFmtId="14" fontId="0" fillId="0" borderId="1" xfId="0" applyNumberFormat="1" applyBorder="1"/>
    <xf numFmtId="0" fontId="6" fillId="6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0" xfId="0" applyFont="1"/>
    <xf numFmtId="0" fontId="7" fillId="0" borderId="0" xfId="0" applyFont="1"/>
    <xf numFmtId="14" fontId="6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2" xfId="0" applyBorder="1"/>
    <xf numFmtId="0" fontId="9" fillId="0" borderId="0" xfId="0" applyFont="1" applyAlignment="1">
      <alignment horizontal="left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249977111117893"/>
      </font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colors>
    <mruColors>
      <color rgb="FFFFD6D6"/>
      <color rgb="FFC9D200"/>
      <color rgb="FF003641"/>
      <color rgb="FF00A0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Henrique Aparecido Martins" refreshedDate="46063.4408287037" createdVersion="8" refreshedVersion="8" minRefreshableVersion="3" recordCount="513" xr:uid="{E1CF6E0F-46FA-4B57-96C8-05E852DCBF56}">
  <cacheSource type="worksheet">
    <worksheetSource ref="A1:M514" sheet="Demandas ID"/>
  </cacheSource>
  <cacheFields count="13">
    <cacheField name="Origem" numFmtId="0">
      <sharedItems count="5">
        <s v="Branding"/>
        <s v="Marketing e Vendas"/>
        <s v="Respons. Social"/>
        <s v="Diretoria"/>
        <s v="Endomarketing"/>
      </sharedItems>
    </cacheField>
    <cacheField name="Código Jira" numFmtId="0">
      <sharedItems containsNonDate="0" containsString="0" containsBlank="1"/>
    </cacheField>
    <cacheField name="Campanha ou Ação" numFmtId="0">
      <sharedItems count="46">
        <s v="Campanha de Crédito Automático"/>
        <s v="Campanha Inauguração Araraquara"/>
        <s v="FEMEC"/>
        <s v="Circuito Esportivo RLZ"/>
        <s v="Corrida COCRED em Dupla"/>
        <s v="COCRED COMUNIDADE"/>
        <s v="Curso Conta com a COCRED"/>
        <s v="Coopera Saber"/>
        <s v="Cinema na Praça"/>
        <s v="Voluntário Transformador "/>
        <s v="CãoMinhada"/>
        <s v="Comunicação Visual da Nova Identidade"/>
        <s v="Campanha de Crédito PJ"/>
        <s v="Cronograma Mídias Sociais FEVEREIRO"/>
        <s v="Relatório de Mídias Sociais - Janeiro"/>
        <s v="Posts Banco de Talentos"/>
        <s v="Posts Carrossel Revista COCRED MAIS"/>
        <s v="Campanha de Governança"/>
        <s v="Gestão em Foco"/>
        <s v="Atualização de TVs internas"/>
        <s v="Sucessão Familiar"/>
        <s v="Campanha Indique e Ganhe"/>
        <s v="Jornadas CRM - Fixas"/>
        <s v="Top 10 - Redes Sociais"/>
        <s v="EXPOZEBU"/>
        <s v="AGRISHOW"/>
        <s v="AGRONEGÓCIO COPERCANA"/>
        <s v="MEGACANA"/>
        <s v="FENASUCRO"/>
        <s v="Agro em foco"/>
        <s v="Empresa em foco"/>
        <s v="Campanha de Conta Digital"/>
        <s v="Campanha de Investimentos"/>
        <s v="Campanha de Consórcios"/>
        <s v="Dia das Mulheres 2026"/>
        <s v="Páscoa 2026"/>
        <s v="Evento Institucional - encontro anual de colaboradores"/>
        <s v="Novos Canais de Comunicação Interna"/>
        <s v="Recertificação GPTW"/>
        <s v="Geração Coop"/>
        <s v="Atualização de peças - nova identidade"/>
        <s v="Logo para o programa: Elas por elas"/>
        <s v="Logo para o programa de Formação de Gerente de Contas"/>
        <s v="Logo para o programa GPC em Ação"/>
        <s v="E-mails Marketing - Integração"/>
        <s v="Adaptação nova identidade - Manual PGD"/>
      </sharedItems>
    </cacheField>
    <cacheField name="Demanda de Comunicação" numFmtId="0">
      <sharedItems/>
    </cacheField>
    <cacheField name="Objetivo" numFmtId="0">
      <sharedItems containsNonDate="0" containsString="0" containsBlank="1"/>
    </cacheField>
    <cacheField name="Data de Solicitação" numFmtId="14">
      <sharedItems containsSemiMixedTypes="0" containsNonDate="0" containsDate="1" containsString="0" minDate="2025-02-03T00:00:00" maxDate="2026-03-22T00:00:00"/>
    </cacheField>
    <cacheField name="Deadline" numFmtId="14">
      <sharedItems containsSemiMixedTypes="0" containsNonDate="0" containsDate="1" containsString="0" minDate="2025-12-22T00:00:00" maxDate="2026-07-28T00:00:00"/>
    </cacheField>
    <cacheField name="Prazo em dias" numFmtId="164">
      <sharedItems containsMixedTypes="1" containsNumber="1" containsInteger="1" minValue="1" maxValue="168" count="49">
        <s v="Prazo encerrado"/>
        <n v="48"/>
        <n v="1"/>
        <n v="14"/>
        <n v="10"/>
        <n v="2"/>
        <n v="28"/>
        <n v="3"/>
        <n v="24"/>
        <n v="8"/>
        <n v="41"/>
        <n v="27"/>
        <n v="34"/>
        <n v="50"/>
        <n v="167"/>
        <n v="13"/>
        <n v="7"/>
        <n v="17"/>
        <n v="39"/>
        <n v="53"/>
        <n v="6"/>
        <n v="20"/>
        <n v="44"/>
        <n v="55"/>
        <n v="58"/>
        <n v="69"/>
        <n v="72"/>
        <n v="64"/>
        <n v="49" u="1"/>
        <n v="15" u="1"/>
        <n v="29" u="1"/>
        <n v="4" u="1"/>
        <n v="25" u="1"/>
        <n v="9" u="1"/>
        <n v="11" u="1"/>
        <n v="42" u="1"/>
        <n v="35" u="1"/>
        <n v="51" u="1"/>
        <n v="168" u="1"/>
        <n v="18" u="1"/>
        <n v="40" u="1"/>
        <n v="54" u="1"/>
        <n v="21" u="1"/>
        <n v="45" u="1"/>
        <n v="56" u="1"/>
        <n v="59" u="1"/>
        <n v="70" u="1"/>
        <n v="73" u="1"/>
        <n v="65" u="1"/>
      </sharedItems>
    </cacheField>
    <cacheField name="Prioridade" numFmtId="0">
      <sharedItems count="3">
        <s v="Alta"/>
        <s v="Média"/>
        <s v="Baixa"/>
      </sharedItems>
    </cacheField>
    <cacheField name="Produção" numFmtId="0">
      <sharedItems containsBlank="1" count="3">
        <s v="Ideatore"/>
        <s v="Cocred"/>
        <m/>
      </sharedItems>
    </cacheField>
    <cacheField name="Status" numFmtId="0">
      <sharedItems count="3">
        <s v="Concluído"/>
        <s v="Pendente"/>
        <s v="Parado"/>
      </sharedItems>
    </cacheField>
    <cacheField name="Status Operacional" numFmtId="0">
      <sharedItems count="4">
        <s v="Aprovado"/>
        <s v="Em Produção"/>
        <s v="Aguardando Aprovação da Cocred"/>
        <s v="Solicitação de Ajustes para a ID"/>
      </sharedItems>
    </cacheField>
    <cacheField name="Observaçõe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x v="0"/>
    <m/>
    <x v="0"/>
    <s v="Produção de roteiro da campanha e aprovação com a equipe de Marketing"/>
    <m/>
    <d v="2025-11-01T00:00:00"/>
    <d v="2025-12-30T00:00:00"/>
    <x v="0"/>
    <x v="0"/>
    <x v="0"/>
    <x v="0"/>
    <x v="0"/>
    <s v="Finalizado"/>
  </r>
  <r>
    <x v="0"/>
    <m/>
    <x v="0"/>
    <s v="Contratação de produtora audiovisual para execução da campanha"/>
    <m/>
    <d v="2025-12-01T00:00:00"/>
    <d v="2025-12-31T00:00:00"/>
    <x v="0"/>
    <x v="1"/>
    <x v="0"/>
    <x v="0"/>
    <x v="0"/>
    <s v="Finalizado"/>
  </r>
  <r>
    <x v="0"/>
    <m/>
    <x v="0"/>
    <s v="Captação e gravação dos materiais audiovisuais da campanha"/>
    <m/>
    <d v="2025-12-31T00:00:00"/>
    <d v="2026-01-16T00:00:00"/>
    <x v="0"/>
    <x v="1"/>
    <x v="0"/>
    <x v="0"/>
    <x v="0"/>
    <s v="Finalizado"/>
  </r>
  <r>
    <x v="0"/>
    <m/>
    <x v="0"/>
    <s v="Produção de vídeo lúdico do produto no formato horizontal"/>
    <m/>
    <d v="2026-01-01T00:00:00"/>
    <d v="2026-01-19T00:00:00"/>
    <x v="0"/>
    <x v="0"/>
    <x v="0"/>
    <x v="0"/>
    <x v="0"/>
    <s v="Finalizado"/>
  </r>
  <r>
    <x v="0"/>
    <m/>
    <x v="0"/>
    <s v="Produção de vídeo lúdico do produto no formato vertical"/>
    <m/>
    <d v="2026-01-01T00:00:00"/>
    <d v="2026-01-19T00:00:00"/>
    <x v="0"/>
    <x v="0"/>
    <x v="0"/>
    <x v="0"/>
    <x v="0"/>
    <s v="Finalizado"/>
  </r>
  <r>
    <x v="0"/>
    <m/>
    <x v="0"/>
    <s v="Produção de spot de áudio de 30 segundos"/>
    <m/>
    <d v="2026-01-01T00:00:00"/>
    <d v="2026-01-19T00:00:00"/>
    <x v="0"/>
    <x v="0"/>
    <x v="0"/>
    <x v="0"/>
    <x v="0"/>
    <s v="Finalizado"/>
  </r>
  <r>
    <x v="0"/>
    <m/>
    <x v="0"/>
    <s v="Elaboração do plano de mídia da campanha"/>
    <m/>
    <d v="2026-01-01T00:00:00"/>
    <d v="2026-01-19T00:00:00"/>
    <x v="0"/>
    <x v="0"/>
    <x v="0"/>
    <x v="0"/>
    <x v="0"/>
    <s v="Finalizado"/>
  </r>
  <r>
    <x v="0"/>
    <m/>
    <x v="0"/>
    <s v="Execução e compra de mídia conforme plano aprovado"/>
    <m/>
    <d v="2026-01-01T00:00:00"/>
    <d v="2026-01-19T00:00:00"/>
    <x v="0"/>
    <x v="0"/>
    <x v="0"/>
    <x v="0"/>
    <x v="0"/>
    <s v="Finalizado"/>
  </r>
  <r>
    <x v="0"/>
    <m/>
    <x v="0"/>
    <s v="Criação do broadside institucional da campanha"/>
    <m/>
    <d v="2026-01-01T00:00:00"/>
    <d v="2026-01-19T00:00:00"/>
    <x v="0"/>
    <x v="0"/>
    <x v="0"/>
    <x v="0"/>
    <x v="0"/>
    <s v="Finalizado"/>
  </r>
  <r>
    <x v="0"/>
    <m/>
    <x v="0"/>
    <s v="Desenvolvimento de e-mail interno para comunicação do lançamento da campanha"/>
    <m/>
    <d v="2026-01-01T00:00:00"/>
    <d v="2026-01-19T00:00:00"/>
    <x v="0"/>
    <x v="0"/>
    <x v="0"/>
    <x v="0"/>
    <x v="0"/>
    <s v="Finalizado"/>
  </r>
  <r>
    <x v="0"/>
    <m/>
    <x v="0"/>
    <s v="Desenvolvimento de e-mail interno informando o início da campanha e solicitando compartilhamento pelos colaboradores"/>
    <m/>
    <d v="2026-01-01T00:00:00"/>
    <d v="2026-01-19T00:00:00"/>
    <x v="0"/>
    <x v="0"/>
    <x v="0"/>
    <x v="0"/>
    <x v="0"/>
    <s v="Finalizado"/>
  </r>
  <r>
    <x v="0"/>
    <m/>
    <x v="0"/>
    <s v="Desenvolvimento de e-mail marketing para cooperados com foco em conhecimento da campanha"/>
    <m/>
    <d v="2026-01-01T00:00:00"/>
    <d v="2026-01-19T00:00:00"/>
    <x v="0"/>
    <x v="0"/>
    <x v="0"/>
    <x v="0"/>
    <x v="0"/>
    <s v="Finalizado"/>
  </r>
  <r>
    <x v="0"/>
    <m/>
    <x v="0"/>
    <s v="Criação do KV da campanha para anúncio de revista em página dupla"/>
    <m/>
    <d v="2026-01-01T00:00:00"/>
    <d v="2026-01-12T00:00:00"/>
    <x v="0"/>
    <x v="0"/>
    <x v="0"/>
    <x v="0"/>
    <x v="0"/>
    <s v="Finalizado"/>
  </r>
  <r>
    <x v="0"/>
    <m/>
    <x v="0"/>
    <s v="Criação de anúncio de revista em página simples"/>
    <m/>
    <d v="2026-01-01T00:00:00"/>
    <d v="2026-01-12T00:00:00"/>
    <x v="0"/>
    <x v="0"/>
    <x v="0"/>
    <x v="0"/>
    <x v="0"/>
    <s v="Finalizado"/>
  </r>
  <r>
    <x v="0"/>
    <m/>
    <x v="0"/>
    <s v="Criação de outdoor da campanha"/>
    <m/>
    <d v="2026-01-01T00:00:00"/>
    <d v="2026-01-12T00:00:00"/>
    <x v="0"/>
    <x v="0"/>
    <x v="0"/>
    <x v="0"/>
    <x v="0"/>
    <s v="Finalizado"/>
  </r>
  <r>
    <x v="0"/>
    <m/>
    <x v="0"/>
    <s v="Criação de card de WhatsApp para apoio comercial dos gerentes"/>
    <m/>
    <d v="2026-01-01T00:00:00"/>
    <d v="2026-01-12T00:00:00"/>
    <x v="0"/>
    <x v="0"/>
    <x v="0"/>
    <x v="0"/>
    <x v="0"/>
    <s v="Finalizado"/>
  </r>
  <r>
    <x v="0"/>
    <m/>
    <x v="0"/>
    <s v="Criação de capa para o canal da Cocred no YouTube"/>
    <m/>
    <d v="2026-01-01T00:00:00"/>
    <d v="2026-01-12T00:00:00"/>
    <x v="0"/>
    <x v="0"/>
    <x v="0"/>
    <x v="0"/>
    <x v="0"/>
    <s v="Finalizado"/>
  </r>
  <r>
    <x v="0"/>
    <m/>
    <x v="0"/>
    <s v="Criação de capa para a página da Cocred no Facebook"/>
    <m/>
    <d v="2026-01-01T00:00:00"/>
    <d v="2026-01-12T00:00:00"/>
    <x v="0"/>
    <x v="0"/>
    <x v="0"/>
    <x v="0"/>
    <x v="0"/>
    <s v="Finalizado"/>
  </r>
  <r>
    <x v="0"/>
    <m/>
    <x v="0"/>
    <s v="Criação de capa para a página da Cocred no LinkedIn"/>
    <m/>
    <d v="2026-01-01T00:00:00"/>
    <d v="2026-01-12T00:00:00"/>
    <x v="0"/>
    <x v="0"/>
    <x v="0"/>
    <x v="0"/>
    <x v="0"/>
    <s v="Finalizado"/>
  </r>
  <r>
    <x v="0"/>
    <m/>
    <x v="0"/>
    <s v="Criação de capa para vídeo no YouTube"/>
    <m/>
    <d v="2026-01-01T00:00:00"/>
    <d v="2026-01-12T00:00:00"/>
    <x v="0"/>
    <x v="0"/>
    <x v="0"/>
    <x v="0"/>
    <x v="0"/>
    <s v="Finalizado"/>
  </r>
  <r>
    <x v="0"/>
    <m/>
    <x v="0"/>
    <s v="Criação de capa para vídeo no Reels"/>
    <m/>
    <d v="2026-01-01T00:00:00"/>
    <d v="2026-01-12T00:00:00"/>
    <x v="0"/>
    <x v="0"/>
    <x v="0"/>
    <x v="0"/>
    <x v="0"/>
    <s v="Finalizado"/>
  </r>
  <r>
    <x v="0"/>
    <m/>
    <x v="0"/>
    <s v="Criação de banner para o site – versão desktop"/>
    <m/>
    <d v="2026-01-01T00:00:00"/>
    <d v="2026-01-12T00:00:00"/>
    <x v="0"/>
    <x v="0"/>
    <x v="0"/>
    <x v="0"/>
    <x v="0"/>
    <s v="Finalizado"/>
  </r>
  <r>
    <x v="0"/>
    <m/>
    <x v="0"/>
    <s v="Criação de banner para o site – versão mobile"/>
    <m/>
    <d v="2026-01-01T00:00:00"/>
    <d v="2026-01-12T00:00:00"/>
    <x v="0"/>
    <x v="0"/>
    <x v="0"/>
    <x v="0"/>
    <x v="0"/>
    <s v="Finalizado"/>
  </r>
  <r>
    <x v="0"/>
    <m/>
    <x v="0"/>
    <s v="Criação de banner para a intranet"/>
    <m/>
    <d v="2026-01-01T00:00:00"/>
    <d v="2026-01-12T00:00:00"/>
    <x v="0"/>
    <x v="0"/>
    <x v="0"/>
    <x v="0"/>
    <x v="0"/>
    <s v="Finalizado"/>
  </r>
  <r>
    <x v="0"/>
    <m/>
    <x v="0"/>
    <s v="Criação de cartaz no formato A2"/>
    <m/>
    <d v="2026-01-01T00:00:00"/>
    <d v="2026-01-12T00:00:00"/>
    <x v="0"/>
    <x v="0"/>
    <x v="0"/>
    <x v="0"/>
    <x v="0"/>
    <s v="Finalizado"/>
  </r>
  <r>
    <x v="0"/>
    <m/>
    <x v="0"/>
    <s v="Desenvolvimento de conteúdo para TV interna dos PAs"/>
    <m/>
    <d v="2026-01-01T00:00:00"/>
    <d v="2026-01-12T00:00:00"/>
    <x v="0"/>
    <x v="0"/>
    <x v="0"/>
    <x v="0"/>
    <x v="0"/>
    <s v="Finalizado"/>
  </r>
  <r>
    <x v="0"/>
    <m/>
    <x v="0"/>
    <s v="Desenvolvimento de conteúdo para telas de TV em elevadores"/>
    <m/>
    <d v="2026-01-01T00:00:00"/>
    <d v="2026-01-12T00:00:00"/>
    <x v="0"/>
    <x v="0"/>
    <x v="0"/>
    <x v="0"/>
    <x v="0"/>
    <s v="Finalizado"/>
  </r>
  <r>
    <x v="0"/>
    <m/>
    <x v="0"/>
    <s v="Criação de material para painel de LED em São José do Rio Preto"/>
    <m/>
    <d v="2026-01-01T00:00:00"/>
    <d v="2026-01-12T00:00:00"/>
    <x v="0"/>
    <x v="0"/>
    <x v="0"/>
    <x v="0"/>
    <x v="0"/>
    <s v="Finalizado"/>
  </r>
  <r>
    <x v="0"/>
    <m/>
    <x v="0"/>
    <s v="Criação de material para painel de LED em Marília"/>
    <m/>
    <d v="2026-01-01T00:00:00"/>
    <d v="2026-01-12T00:00:00"/>
    <x v="0"/>
    <x v="0"/>
    <x v="0"/>
    <x v="0"/>
    <x v="0"/>
    <s v="Finalizado"/>
  </r>
  <r>
    <x v="0"/>
    <m/>
    <x v="0"/>
    <s v="Planejamento das publicações da campanha nas redes sociais, incluindo derivações de peças"/>
    <m/>
    <d v="2026-01-01T00:00:00"/>
    <d v="2026-01-12T00:00:00"/>
    <x v="0"/>
    <x v="0"/>
    <x v="0"/>
    <x v="0"/>
    <x v="0"/>
    <s v="Finalizado"/>
  </r>
  <r>
    <x v="0"/>
    <m/>
    <x v="0"/>
    <s v="Produção de post para o blog institucional"/>
    <m/>
    <d v="2026-01-01T00:00:00"/>
    <d v="2026-01-12T00:00:00"/>
    <x v="0"/>
    <x v="0"/>
    <x v="0"/>
    <x v="0"/>
    <x v="0"/>
    <s v="Finalizado"/>
  </r>
  <r>
    <x v="0"/>
    <m/>
    <x v="0"/>
    <s v="Produção de post para a intranet"/>
    <m/>
    <d v="2026-01-01T00:00:00"/>
    <d v="2026-01-12T00:00:00"/>
    <x v="0"/>
    <x v="0"/>
    <x v="0"/>
    <x v="0"/>
    <x v="0"/>
    <s v="Finalizado"/>
  </r>
  <r>
    <x v="0"/>
    <m/>
    <x v="0"/>
    <s v="Criação de anúncio em vídeo para Instagram e Facebook, com botão “Clique aqui”, direcionando para a página institucional da Cocred, com foco no aumento de curtidores"/>
    <m/>
    <d v="2026-01-19T00:00:00"/>
    <d v="2026-01-12T00:00:00"/>
    <x v="0"/>
    <x v="0"/>
    <x v="0"/>
    <x v="0"/>
    <x v="0"/>
    <s v="Finalizado"/>
  </r>
  <r>
    <x v="1"/>
    <m/>
    <x v="0"/>
    <s v="Criação de LP do Produto na RD Station"/>
    <m/>
    <d v="2026-02-02T00:00:00"/>
    <d v="2026-02-06T00:00:00"/>
    <x v="0"/>
    <x v="0"/>
    <x v="0"/>
    <x v="1"/>
    <x v="1"/>
    <s v="Aguardando entrega."/>
  </r>
  <r>
    <x v="1"/>
    <m/>
    <x v="0"/>
    <s v="Anúncio no Google e YouTube, direcionando usuários para a página do produto na landing page da RD Station, segmentado para pessoas com interesse no produto."/>
    <m/>
    <d v="2026-02-02T00:00:00"/>
    <d v="2026-02-06T00:00:00"/>
    <x v="0"/>
    <x v="0"/>
    <x v="0"/>
    <x v="1"/>
    <x v="1"/>
    <s v="Aguardando entrega."/>
  </r>
  <r>
    <x v="1"/>
    <m/>
    <x v="0"/>
    <s v="Anúncio em vídeo no Instagram e Facebook, com botão Clique aqui, direcionando o usuário para a landing page do produto (RD Station), segmentado para interessados no produto."/>
    <m/>
    <d v="2026-02-02T00:00:00"/>
    <d v="2026-02-06T00:00:00"/>
    <x v="0"/>
    <x v="0"/>
    <x v="0"/>
    <x v="1"/>
    <x v="1"/>
    <s v="Aguardando entrega."/>
  </r>
  <r>
    <x v="1"/>
    <m/>
    <x v="0"/>
    <s v="Anúncio estático no Instagram e Facebook, com foco na captação de leads em formulário nativo, segmentado para pessoas interessadas no produto."/>
    <m/>
    <d v="2026-02-02T00:00:00"/>
    <d v="2026-02-06T00:00:00"/>
    <x v="0"/>
    <x v="0"/>
    <x v="0"/>
    <x v="1"/>
    <x v="1"/>
    <s v="Aguardando entrega."/>
  </r>
  <r>
    <x v="1"/>
    <m/>
    <x v="0"/>
    <s v="Anúncio estático no Instagram e Facebook, com passo a passo para contratação do produto pelo App, segmentado para cooperados propensos."/>
    <m/>
    <d v="2026-02-02T00:00:00"/>
    <d v="2026-02-06T00:00:00"/>
    <x v="0"/>
    <x v="0"/>
    <x v="0"/>
    <x v="1"/>
    <x v="1"/>
    <s v="Aguardando entrega."/>
  </r>
  <r>
    <x v="1"/>
    <m/>
    <x v="0"/>
    <s v="Anúncio estático no Instagram e Facebook, com foco na captação de leads, segmentado para público semelhante aos cooperados propensos (lookalike)."/>
    <m/>
    <d v="2026-02-02T00:00:00"/>
    <d v="2026-02-06T00:00:00"/>
    <x v="0"/>
    <x v="0"/>
    <x v="0"/>
    <x v="1"/>
    <x v="1"/>
    <s v="Aguardando entrega."/>
  </r>
  <r>
    <x v="1"/>
    <m/>
    <x v="0"/>
    <s v="CRM - E-mail 1 - Cooperados propensos - Objetivo de aquisição pelo APP"/>
    <m/>
    <d v="2026-01-28T00:00:00"/>
    <d v="2026-02-10T00:00:00"/>
    <x v="0"/>
    <x v="0"/>
    <x v="0"/>
    <x v="1"/>
    <x v="1"/>
    <s v="Aguardando entrega."/>
  </r>
  <r>
    <x v="1"/>
    <m/>
    <x v="0"/>
    <s v="CRM - E-mail 2 - Cooperados propensos - Objetivo de aquisição pelo APP - Para quem fez aquisição no 1º"/>
    <m/>
    <d v="2026-01-28T00:00:00"/>
    <d v="2026-02-10T00:00:00"/>
    <x v="0"/>
    <x v="0"/>
    <x v="0"/>
    <x v="1"/>
    <x v="1"/>
    <s v="Aguardando entrega."/>
  </r>
  <r>
    <x v="1"/>
    <m/>
    <x v="0"/>
    <s v="CRM - E-mail 3 - Cooperados propensos - Objetivo de aquisição pelo APP - Para quem fez aquisição no 2º"/>
    <m/>
    <d v="2026-01-28T00:00:00"/>
    <d v="2026-02-10T00:00:00"/>
    <x v="0"/>
    <x v="0"/>
    <x v="0"/>
    <x v="1"/>
    <x v="1"/>
    <s v="Aguardando entrega."/>
  </r>
  <r>
    <x v="1"/>
    <m/>
    <x v="0"/>
    <s v="CRM - E-mail 1 - Prospects e Leads - Obejtivo de conversão "/>
    <m/>
    <d v="2026-02-04T00:00:00"/>
    <d v="2026-02-10T00:00:00"/>
    <x v="0"/>
    <x v="0"/>
    <x v="0"/>
    <x v="1"/>
    <x v="1"/>
    <s v="Aguardando entrega."/>
  </r>
  <r>
    <x v="1"/>
    <m/>
    <x v="0"/>
    <s v="CRM - E-mail 2 - Prospects e Leads - Objetivo de conversão para quem não abriu no e-mail 1"/>
    <m/>
    <d v="2026-02-04T00:00:00"/>
    <d v="2026-02-10T00:00:00"/>
    <x v="0"/>
    <x v="0"/>
    <x v="0"/>
    <x v="1"/>
    <x v="1"/>
    <s v="Aguardando entrega."/>
  </r>
  <r>
    <x v="1"/>
    <m/>
    <x v="0"/>
    <s v="CRM - E-mail 3 - Prospects e Leads - Objetivo de conversão e apresentando os demais produtos"/>
    <m/>
    <d v="2026-02-04T00:00:00"/>
    <d v="2026-02-10T00:00:00"/>
    <x v="0"/>
    <x v="0"/>
    <x v="0"/>
    <x v="1"/>
    <x v="1"/>
    <s v="Aguardando entrega."/>
  </r>
  <r>
    <x v="1"/>
    <m/>
    <x v="0"/>
    <s v="Relatório de Resultados da Campanha"/>
    <m/>
    <d v="2026-02-05T00:00:00"/>
    <d v="2026-03-30T00:00:00"/>
    <x v="1"/>
    <x v="2"/>
    <x v="0"/>
    <x v="1"/>
    <x v="1"/>
    <s v="Aguardando entrega."/>
  </r>
  <r>
    <x v="1"/>
    <m/>
    <x v="1"/>
    <s v="Stories Redes Sociais - &quot;Chegamos&quot;"/>
    <m/>
    <d v="2025-12-23T00:00:00"/>
    <d v="2026-02-11T00:00:00"/>
    <x v="2"/>
    <x v="1"/>
    <x v="0"/>
    <x v="1"/>
    <x v="1"/>
    <s v="Aguardando entrega."/>
  </r>
  <r>
    <x v="1"/>
    <m/>
    <x v="1"/>
    <s v="Teaser Redes Sociais"/>
    <m/>
    <d v="2025-12-23T00:00:00"/>
    <d v="2026-02-11T00:00:00"/>
    <x v="2"/>
    <x v="1"/>
    <x v="0"/>
    <x v="1"/>
    <x v="1"/>
    <s v="Aguardando entrega."/>
  </r>
  <r>
    <x v="1"/>
    <m/>
    <x v="1"/>
    <s v="Site - Home"/>
    <m/>
    <d v="2025-12-23T00:00:00"/>
    <d v="2026-02-11T00:00:00"/>
    <x v="2"/>
    <x v="1"/>
    <x v="0"/>
    <x v="1"/>
    <x v="1"/>
    <s v="Aguardando entrega."/>
  </r>
  <r>
    <x v="1"/>
    <m/>
    <x v="1"/>
    <s v="Site - Mobile"/>
    <m/>
    <d v="2025-12-23T00:00:00"/>
    <d v="2026-02-11T00:00:00"/>
    <x v="2"/>
    <x v="1"/>
    <x v="0"/>
    <x v="1"/>
    <x v="1"/>
    <s v="Aguardando entrega."/>
  </r>
  <r>
    <x v="1"/>
    <m/>
    <x v="1"/>
    <s v="Intranet - Banner Horizontal"/>
    <m/>
    <d v="2025-12-23T00:00:00"/>
    <d v="2026-02-11T00:00:00"/>
    <x v="2"/>
    <x v="1"/>
    <x v="0"/>
    <x v="1"/>
    <x v="1"/>
    <s v="Aguardando entrega."/>
  </r>
  <r>
    <x v="1"/>
    <m/>
    <x v="1"/>
    <s v="Convite Wpp"/>
    <m/>
    <d v="2025-12-23T00:00:00"/>
    <d v="2026-02-11T00:00:00"/>
    <x v="2"/>
    <x v="0"/>
    <x v="1"/>
    <x v="0"/>
    <x v="0"/>
    <s v="Layout pronto dia 03/02. Alterações de texto feito internamente pelo mkt."/>
  </r>
  <r>
    <x v="1"/>
    <m/>
    <x v="1"/>
    <s v="Convite Emkt"/>
    <m/>
    <d v="2025-12-23T00:00:00"/>
    <d v="2026-02-11T00:00:00"/>
    <x v="2"/>
    <x v="0"/>
    <x v="1"/>
    <x v="0"/>
    <x v="0"/>
    <s v="Layout pronto dia 03/02. Alterações de texto feito internamente pelo mkt."/>
  </r>
  <r>
    <x v="1"/>
    <m/>
    <x v="1"/>
    <s v="Outdoor"/>
    <m/>
    <d v="2025-12-23T00:00:00"/>
    <d v="2026-02-11T00:00:00"/>
    <x v="2"/>
    <x v="0"/>
    <x v="0"/>
    <x v="1"/>
    <x v="1"/>
    <s v="Necessário ID Encaminhar os pontos para escolhermos."/>
  </r>
  <r>
    <x v="1"/>
    <m/>
    <x v="1"/>
    <s v="VT 30''"/>
    <m/>
    <d v="2025-12-23T00:00:00"/>
    <d v="2026-02-11T00:00:00"/>
    <x v="2"/>
    <x v="0"/>
    <x v="0"/>
    <x v="1"/>
    <x v="1"/>
    <s v="Aguardando entrega."/>
  </r>
  <r>
    <x v="1"/>
    <m/>
    <x v="1"/>
    <s v="Spot 30''"/>
    <m/>
    <d v="2025-12-23T00:00:00"/>
    <d v="2026-02-11T00:00:00"/>
    <x v="2"/>
    <x v="0"/>
    <x v="0"/>
    <x v="1"/>
    <x v="1"/>
    <s v="Aguardando entrega."/>
  </r>
  <r>
    <x v="1"/>
    <m/>
    <x v="1"/>
    <s v="Plano de Mídia"/>
    <m/>
    <d v="2025-12-23T00:00:00"/>
    <d v="2026-02-11T00:00:00"/>
    <x v="2"/>
    <x v="0"/>
    <x v="0"/>
    <x v="0"/>
    <x v="2"/>
    <s v="Aguardando reunião para validação. Reunião dia 11/02"/>
  </r>
  <r>
    <x v="1"/>
    <m/>
    <x v="1"/>
    <s v="Post informando que estamos com nova agência"/>
    <m/>
    <d v="2026-02-04T00:00:00"/>
    <d v="2026-02-11T00:00:00"/>
    <x v="2"/>
    <x v="1"/>
    <x v="0"/>
    <x v="1"/>
    <x v="1"/>
    <s v="Aguardando entrega."/>
  </r>
  <r>
    <x v="1"/>
    <m/>
    <x v="1"/>
    <s v="Post carrossel com fotos da inauguração"/>
    <m/>
    <d v="2026-02-04T00:00:00"/>
    <d v="2026-02-11T00:00:00"/>
    <x v="2"/>
    <x v="1"/>
    <x v="0"/>
    <x v="1"/>
    <x v="1"/>
    <s v="Aguardando entrega."/>
  </r>
  <r>
    <x v="1"/>
    <m/>
    <x v="1"/>
    <s v="E-mail já estamos em um novo endereço"/>
    <m/>
    <d v="2026-02-04T00:00:00"/>
    <d v="2026-02-11T00:00:00"/>
    <x v="2"/>
    <x v="1"/>
    <x v="0"/>
    <x v="1"/>
    <x v="1"/>
    <s v="Aguardando entrega."/>
  </r>
  <r>
    <x v="1"/>
    <m/>
    <x v="1"/>
    <s v="Post de captação de lead com a arte da nova agência"/>
    <m/>
    <d v="2026-02-04T00:00:00"/>
    <d v="2026-02-11T00:00:00"/>
    <x v="2"/>
    <x v="1"/>
    <x v="0"/>
    <x v="1"/>
    <x v="1"/>
    <s v="Aguardando entrega."/>
  </r>
  <r>
    <x v="1"/>
    <m/>
    <x v="1"/>
    <s v="LP de Abertura de Conta em Araraquara - Quando patrocinarmos o vídeo, colocar um botão para a LP. "/>
    <m/>
    <d v="2026-02-04T00:00:00"/>
    <d v="2026-02-24T00:00:00"/>
    <x v="3"/>
    <x v="1"/>
    <x v="0"/>
    <x v="1"/>
    <x v="1"/>
    <s v="Aguardando entrega."/>
  </r>
  <r>
    <x v="1"/>
    <m/>
    <x v="2"/>
    <s v="Planejamento da Feira"/>
    <m/>
    <d v="2026-01-28T00:00:00"/>
    <d v="2026-02-20T00:00:00"/>
    <x v="4"/>
    <x v="1"/>
    <x v="0"/>
    <x v="1"/>
    <x v="1"/>
    <s v="Aguardando entrega."/>
  </r>
  <r>
    <x v="1"/>
    <m/>
    <x v="2"/>
    <s v="Plano de Mídia"/>
    <m/>
    <d v="2026-01-13T00:00:00"/>
    <d v="2026-02-20T00:00:00"/>
    <x v="4"/>
    <x v="0"/>
    <x v="0"/>
    <x v="1"/>
    <x v="1"/>
    <s v="Aguardando entrega."/>
  </r>
  <r>
    <x v="1"/>
    <m/>
    <x v="3"/>
    <s v="Planejamento do Evento"/>
    <m/>
    <d v="2026-01-27T00:00:00"/>
    <d v="2026-01-30T00:00:00"/>
    <x v="0"/>
    <x v="0"/>
    <x v="0"/>
    <x v="0"/>
    <x v="1"/>
    <s v="Aguardando entrega."/>
  </r>
  <r>
    <x v="2"/>
    <m/>
    <x v="4"/>
    <s v="Nova Identidade Visual Corrida"/>
    <m/>
    <d v="2025-11-14T00:00:00"/>
    <d v="2025-12-22T00:00:00"/>
    <x v="0"/>
    <x v="2"/>
    <x v="2"/>
    <x v="0"/>
    <x v="0"/>
    <s v="22/12/2025 - Entrega do KV _x000a_23/12/2025 - Retorno com considerações no Jira, com solicitação para entrega no dia 29/12/2025. _x000a_29/01/2025 - Foi entregre o &quot;KV&quot; ajustado com algumas peças já criadas."/>
  </r>
  <r>
    <x v="2"/>
    <m/>
    <x v="4"/>
    <s v="Nova Identidade Corrida COCRED em Dupla"/>
    <m/>
    <d v="2025-11-14T00:00:00"/>
    <d v="2025-12-22T00:00:00"/>
    <x v="0"/>
    <x v="2"/>
    <x v="2"/>
    <x v="0"/>
    <x v="0"/>
    <s v="22/12/2025 - Entrega da nova Identidade junto com o KV. _x000a_26/12/2025 - Envio de considerações sobre a IDENTIDADE e alteração do naming para CORRIDA COCRED EM DUPLA, além de outras ref. Prazo solicitado de entrega para o dia 07/01._x000a_07/01/2026 - ID mostrou em reunião na COCRED as identidades desenvolvidas, mas não finalizadas. Durante a conversa, foi realizado feedbacks e a entrega ficou combinada para os dias seguintes. _x000a_09/01/2026 - ID enviou para aprovação as novas sugestões de identidade. As opções foram colocadas no Briefing para aprovação da diretoria. _x000a_22/01/2026 - Aprovação da Identidade no Jira"/>
  </r>
  <r>
    <x v="2"/>
    <m/>
    <x v="4"/>
    <s v="Plano de mídia"/>
    <m/>
    <d v="2025-11-14T00:00:00"/>
    <d v="2026-01-05T00:00:00"/>
    <x v="0"/>
    <x v="0"/>
    <x v="2"/>
    <x v="1"/>
    <x v="1"/>
    <s v="14/11/2025 - Foi colocado no Jira a solicitação de desenvolvimento do plano de mídia com base na edição de 2025. _x000a_20/01/2026 - Reforço da solicitação do plano de mídia, já com uma previsão de verba. _x000a_03/02/2026 - Em reunião virtual, foi destacado que ocorreu um desenvolvimento sugestivo de plano de mídia, com opções a serem avaliadas para após validação dos canais e dos meios, ser efeitvado o plano final. O arquivo ficou de ser enviado no mesmo dia. _x000a_04/02/2026 - No aguardo da arquivo com sufestões de mídia._x000a_05/02/2026 - Recebimento das sugestões de mídias para serem trabalhadas. "/>
  </r>
  <r>
    <x v="2"/>
    <m/>
    <x v="4"/>
    <s v="Reels informando que as edições 2026 da corrida estão confirmandas "/>
    <m/>
    <d v="2026-01-20T00:00:00"/>
    <d v="2026-01-23T00:00:00"/>
    <x v="0"/>
    <x v="2"/>
    <x v="2"/>
    <x v="0"/>
    <x v="0"/>
    <s v="28/01/2026 - Entrega do Reels para aprovação, 17h32,  já contendo considerações de ajustes pela ID._x000a_29/01/2026 - Feedbacks da COCRED enviado para ajuste do material._x000a_29/01/2026 - Envio do vídeo ajustado para aprovação. O arquivo foi aprovado e foi publicado internamente."/>
  </r>
  <r>
    <x v="2"/>
    <m/>
    <x v="4"/>
    <s v="Feed Instagram - Divulgação Grupo VIP, com mensagem de inscrição em breve."/>
    <m/>
    <d v="2026-01-20T00:00:00"/>
    <d v="2026-01-25T00:00:00"/>
    <x v="0"/>
    <x v="2"/>
    <x v="2"/>
    <x v="0"/>
    <x v="0"/>
    <s v="29/01/2026 - Recebimento do arquivo para aprovação. _x000a_29/01/2026 - Envio das considerações para ajustes._x000a_30/01/2026 - Foi realizado ajustes pela COCRED no arquivo. O feed foi publicado no mesmo dia."/>
  </r>
  <r>
    <x v="2"/>
    <m/>
    <x v="4"/>
    <s v="Story - Divulgação Grupo VIP, com mensagem de inscrição em breve."/>
    <m/>
    <d v="2026-01-20T00:00:00"/>
    <d v="2026-01-25T00:00:00"/>
    <x v="0"/>
    <x v="2"/>
    <x v="2"/>
    <x v="0"/>
    <x v="0"/>
    <s v="29/01/2026 - Recebimento do arquivo para aprovação. _x000a_29/01/2026 - Envio das considerações para ajustes._x000a_30/01/2026 - Foi realizado ajustes pela COCRED no arquivo. O story foi publicado no mesmo dia."/>
  </r>
  <r>
    <x v="2"/>
    <m/>
    <x v="4"/>
    <s v="Card Whatsapp - Mensagem de inscrições em breve"/>
    <m/>
    <d v="2026-01-20T00:00:00"/>
    <d v="2026-01-25T00:00:00"/>
    <x v="0"/>
    <x v="2"/>
    <x v="2"/>
    <x v="0"/>
    <x v="0"/>
    <s v="29/01/2026 - Recebimento do arquivo para aprovação. _x000a_29/01/2026 - Envio das considerações para ajustes._x000a_30/01/2026 - Foi realizado ajustes pela COCRED no arquivo. O Card foi enviado no mesmo dia."/>
  </r>
  <r>
    <x v="2"/>
    <m/>
    <x v="4"/>
    <s v="Card Whatsapp - Mensagem de inscrições antecipadas"/>
    <m/>
    <d v="2026-01-20T00:00:00"/>
    <d v="2026-01-26T00:00:00"/>
    <x v="0"/>
    <x v="2"/>
    <x v="2"/>
    <x v="1"/>
    <x v="2"/>
    <s v="29/01/2026 - Recebimento do arquivo para aprovação. _x000a_29/01/2026 - Envio das considerações para ajustes._x000a_03/02/2026 - ID Envio para aprovação. Será alterado internamente para já utilização. "/>
  </r>
  <r>
    <x v="2"/>
    <m/>
    <x v="4"/>
    <s v="Feed: Foto PB como utilizada por outras páginas de corrida, com a data da Corrida."/>
    <m/>
    <d v="2026-01-20T00:00:00"/>
    <d v="2026-01-26T00:00:00"/>
    <x v="0"/>
    <x v="2"/>
    <x v="2"/>
    <x v="1"/>
    <x v="1"/>
    <s v="Item não entregue. Analizando o plano, devido as modificações, pode ser declinado. "/>
  </r>
  <r>
    <x v="2"/>
    <m/>
    <x v="4"/>
    <s v="Feed Carrossel - Informações gerais do evento"/>
    <m/>
    <d v="2026-01-20T00:00:00"/>
    <d v="2026-01-29T00:00:00"/>
    <x v="0"/>
    <x v="2"/>
    <x v="2"/>
    <x v="0"/>
    <x v="2"/>
    <s v="29/01/2026 - Recebimento do arquivo para aprovação. _x000a_29/01/2026 - Envio das considerações para ajustes._x000a_03/02/2026 - ID Envio para aprovação. Será alterado internamente os textos. "/>
  </r>
  <r>
    <x v="2"/>
    <m/>
    <x v="4"/>
    <s v="Stories - Informações gerais do evento"/>
    <m/>
    <d v="2026-01-20T00:00:00"/>
    <d v="2026-01-29T00:00:00"/>
    <x v="0"/>
    <x v="2"/>
    <x v="2"/>
    <x v="1"/>
    <x v="1"/>
    <s v="Não foi fornecido. Será construido com base no feed carrossel internamente."/>
  </r>
  <r>
    <x v="2"/>
    <m/>
    <x v="4"/>
    <s v="E-mail - Informações gerais do evento"/>
    <m/>
    <d v="2026-01-20T00:00:00"/>
    <d v="2026-01-29T00:00:00"/>
    <x v="0"/>
    <x v="2"/>
    <x v="2"/>
    <x v="1"/>
    <x v="1"/>
    <s v="Não foi fornecido. Será construido com base no feed, e com o CRM, será executado diretamente na plataforma. "/>
  </r>
  <r>
    <x v="2"/>
    <m/>
    <x v="4"/>
    <s v="SMS - Divulgação das informações levando para a publicação"/>
    <m/>
    <d v="2026-01-20T00:00:00"/>
    <d v="2026-01-29T00:00:00"/>
    <x v="0"/>
    <x v="2"/>
    <x v="2"/>
    <x v="1"/>
    <x v="1"/>
    <s v="Não foi fornecido. Será criado internamente. "/>
  </r>
  <r>
    <x v="2"/>
    <m/>
    <x v="4"/>
    <s v="Story - É amanhã inicío das vendas"/>
    <m/>
    <d v="2026-01-20T00:00:00"/>
    <d v="2026-01-30T00:00:00"/>
    <x v="0"/>
    <x v="2"/>
    <x v="2"/>
    <x v="1"/>
    <x v="1"/>
    <s v="Não foi fornecido. Será criado internamente. "/>
  </r>
  <r>
    <x v="2"/>
    <m/>
    <x v="4"/>
    <s v="Feed - Inscrições Abertas"/>
    <m/>
    <d v="2026-01-20T00:00:00"/>
    <d v="2026-02-02T00:00:00"/>
    <x v="0"/>
    <x v="2"/>
    <x v="2"/>
    <x v="1"/>
    <x v="1"/>
    <s v="Não foi fornecido. Será criado internamente. "/>
  </r>
  <r>
    <x v="2"/>
    <m/>
    <x v="4"/>
    <s v="Story - Inscrições Abertas"/>
    <m/>
    <d v="2026-01-20T00:00:00"/>
    <d v="2026-02-02T00:00:00"/>
    <x v="0"/>
    <x v="2"/>
    <x v="2"/>
    <x v="1"/>
    <x v="1"/>
    <s v="Não foi fornecido. Será criado internamente. "/>
  </r>
  <r>
    <x v="2"/>
    <m/>
    <x v="4"/>
    <s v="E-mail - Inscrições Abertas"/>
    <m/>
    <d v="2026-01-20T00:00:00"/>
    <d v="2026-02-02T00:00:00"/>
    <x v="0"/>
    <x v="2"/>
    <x v="2"/>
    <x v="1"/>
    <x v="1"/>
    <s v="Não foi fornecido. Será criado internamente. "/>
  </r>
  <r>
    <x v="2"/>
    <m/>
    <x v="4"/>
    <s v="Feed - Reforço de urgência para venda do lote promocional"/>
    <m/>
    <d v="2026-01-20T00:00:00"/>
    <d v="2026-02-07T00:00:00"/>
    <x v="0"/>
    <x v="2"/>
    <x v="2"/>
    <x v="1"/>
    <x v="1"/>
    <s v="Ainda não foi enviado."/>
  </r>
  <r>
    <x v="2"/>
    <m/>
    <x v="4"/>
    <s v="Story - Reforço de urgência para venda do lote promocional"/>
    <m/>
    <d v="2026-01-20T00:00:00"/>
    <d v="2026-02-07T00:00:00"/>
    <x v="0"/>
    <x v="2"/>
    <x v="2"/>
    <x v="1"/>
    <x v="1"/>
    <s v="Ainda não foi enviado."/>
  </r>
  <r>
    <x v="2"/>
    <m/>
    <x v="4"/>
    <s v="E-mail - Reforço de urgência para venda do lote promocional"/>
    <m/>
    <d v="2026-01-20T00:00:00"/>
    <d v="2026-02-07T00:00:00"/>
    <x v="0"/>
    <x v="2"/>
    <x v="2"/>
    <x v="1"/>
    <x v="1"/>
    <s v="Ainda não foi enviado."/>
  </r>
  <r>
    <x v="2"/>
    <m/>
    <x v="4"/>
    <s v="Card Whatsapp - Reforço de urgência para venda do lote promocional"/>
    <m/>
    <d v="2026-01-20T00:00:00"/>
    <d v="2026-02-07T00:00:00"/>
    <x v="0"/>
    <x v="2"/>
    <x v="2"/>
    <x v="1"/>
    <x v="1"/>
    <s v="Ainda não foi enviado."/>
  </r>
  <r>
    <x v="2"/>
    <m/>
    <x v="4"/>
    <s v="Feed - Reforço de urgência últimas vagas Lote Promo. "/>
    <m/>
    <d v="2026-01-20T00:00:00"/>
    <d v="2026-02-09T00:00:00"/>
    <x v="0"/>
    <x v="2"/>
    <x v="2"/>
    <x v="1"/>
    <x v="1"/>
    <s v="Ainda não foi enviado."/>
  </r>
  <r>
    <x v="2"/>
    <m/>
    <x v="4"/>
    <s v="Story - Reforço de urgência últimas vagas Lote Promo. "/>
    <m/>
    <d v="2026-01-20T00:00:00"/>
    <d v="2026-02-09T00:00:00"/>
    <x v="0"/>
    <x v="2"/>
    <x v="2"/>
    <x v="1"/>
    <x v="1"/>
    <s v="Ainda não foi enviado."/>
  </r>
  <r>
    <x v="2"/>
    <m/>
    <x v="4"/>
    <s v="E-mail - Reforço de urgência últimas vagas Lote Promo. "/>
    <m/>
    <d v="2026-01-20T00:00:00"/>
    <d v="2026-02-09T00:00:00"/>
    <x v="0"/>
    <x v="2"/>
    <x v="2"/>
    <x v="1"/>
    <x v="1"/>
    <s v="Ainda não foi enviado."/>
  </r>
  <r>
    <x v="2"/>
    <m/>
    <x v="4"/>
    <s v="Card Whatsapp - Reforço de urgência últimas vagas Lote Promo. "/>
    <m/>
    <d v="2026-01-20T00:00:00"/>
    <d v="2026-02-09T00:00:00"/>
    <x v="0"/>
    <x v="2"/>
    <x v="2"/>
    <x v="1"/>
    <x v="1"/>
    <s v="Ainda não foi enviado."/>
  </r>
  <r>
    <x v="2"/>
    <m/>
    <x v="4"/>
    <s v="Feed - Reforço de urgência últimas vagas Lote Promo. "/>
    <m/>
    <d v="2026-01-20T00:00:00"/>
    <d v="2026-02-10T00:00:00"/>
    <x v="0"/>
    <x v="2"/>
    <x v="2"/>
    <x v="1"/>
    <x v="1"/>
    <s v="Ainda não foi enviado."/>
  </r>
  <r>
    <x v="2"/>
    <m/>
    <x v="4"/>
    <s v="Story - Reforço de urgência últimas vagas Lote Promo. "/>
    <m/>
    <d v="2026-01-20T00:00:00"/>
    <d v="2026-02-10T00:00:00"/>
    <x v="0"/>
    <x v="2"/>
    <x v="2"/>
    <x v="1"/>
    <x v="1"/>
    <s v="Ainda não foi enviado."/>
  </r>
  <r>
    <x v="2"/>
    <m/>
    <x v="4"/>
    <s v="Card Whatsapp - Reforço de urgência últimas vagas Lote Promo. "/>
    <m/>
    <d v="2026-01-20T00:00:00"/>
    <d v="2026-02-10T00:00:00"/>
    <x v="0"/>
    <x v="2"/>
    <x v="2"/>
    <x v="1"/>
    <x v="1"/>
    <s v="Ainda não foi enviado."/>
  </r>
  <r>
    <x v="2"/>
    <m/>
    <x v="4"/>
    <s v="Feed - Mudaça de lote "/>
    <m/>
    <d v="2026-01-20T00:00:00"/>
    <d v="2026-02-11T00:00:00"/>
    <x v="2"/>
    <x v="2"/>
    <x v="2"/>
    <x v="1"/>
    <x v="1"/>
    <s v="Ainda não foi enviado."/>
  </r>
  <r>
    <x v="2"/>
    <m/>
    <x v="4"/>
    <s v="Story - Mudaça de lote "/>
    <m/>
    <d v="2026-01-20T00:00:00"/>
    <d v="2026-02-11T00:00:00"/>
    <x v="2"/>
    <x v="2"/>
    <x v="2"/>
    <x v="1"/>
    <x v="1"/>
    <s v="Ainda não foi enviado."/>
  </r>
  <r>
    <x v="2"/>
    <m/>
    <x v="4"/>
    <s v="Card Whatsapp - Mudaça de lote "/>
    <m/>
    <d v="2026-01-20T00:00:00"/>
    <d v="2026-02-11T00:00:00"/>
    <x v="2"/>
    <x v="2"/>
    <x v="2"/>
    <x v="1"/>
    <x v="1"/>
    <s v="Ainda não foi enviado."/>
  </r>
  <r>
    <x v="2"/>
    <m/>
    <x v="4"/>
    <s v="E-mail - Mudaça de lote "/>
    <m/>
    <d v="2026-01-20T00:00:00"/>
    <d v="2026-02-11T00:00:00"/>
    <x v="2"/>
    <x v="2"/>
    <x v="2"/>
    <x v="1"/>
    <x v="1"/>
    <s v="Ainda não foi enviado."/>
  </r>
  <r>
    <x v="2"/>
    <m/>
    <x v="4"/>
    <s v="Feed - Aproveite o 1º lote"/>
    <m/>
    <d v="2026-01-20T00:00:00"/>
    <d v="2026-02-12T00:00:00"/>
    <x v="5"/>
    <x v="2"/>
    <x v="2"/>
    <x v="1"/>
    <x v="1"/>
    <s v="Ainda não foi enviado."/>
  </r>
  <r>
    <x v="2"/>
    <m/>
    <x v="4"/>
    <s v="Story - Aproveite o 1º lote"/>
    <m/>
    <d v="2026-01-20T00:00:00"/>
    <d v="2026-02-12T00:00:00"/>
    <x v="5"/>
    <x v="2"/>
    <x v="2"/>
    <x v="1"/>
    <x v="1"/>
    <s v="Ainda não foi enviado."/>
  </r>
  <r>
    <x v="2"/>
    <m/>
    <x v="4"/>
    <s v="Card Whatsapp - Aproveite o 1º lote"/>
    <m/>
    <d v="2026-01-20T00:00:00"/>
    <d v="2026-02-12T00:00:00"/>
    <x v="5"/>
    <x v="2"/>
    <x v="2"/>
    <x v="1"/>
    <x v="1"/>
    <s v="Ainda não foi enviado."/>
  </r>
  <r>
    <x v="2"/>
    <m/>
    <x v="4"/>
    <s v="E-mail - Aproveite o 1º lote"/>
    <m/>
    <d v="2026-01-20T00:00:00"/>
    <d v="2026-02-12T00:00:00"/>
    <x v="5"/>
    <x v="2"/>
    <x v="2"/>
    <x v="1"/>
    <x v="1"/>
    <s v="Ainda não foi enviado."/>
  </r>
  <r>
    <x v="2"/>
    <m/>
    <x v="4"/>
    <s v="Compartilhamento do Briefing Aprovado + Solicitação de apoio com ideias para brindes do kit e ações corrida"/>
    <m/>
    <d v="2026-01-28T00:00:00"/>
    <d v="2026-02-03T00:00:00"/>
    <x v="0"/>
    <x v="2"/>
    <x v="2"/>
    <x v="0"/>
    <x v="2"/>
    <s v="Foi enviado as ideias de brindes para o KIT, estamos avaliando custos para orçamento junto a Noblu."/>
  </r>
  <r>
    <x v="2"/>
    <m/>
    <x v="4"/>
    <s v="Modelos de Medalha "/>
    <m/>
    <d v="2026-01-28T00:00:00"/>
    <d v="2026-02-10T00:00:00"/>
    <x v="0"/>
    <x v="2"/>
    <x v="2"/>
    <x v="1"/>
    <x v="2"/>
    <s v="05/02 - Enviado para aprovação. "/>
  </r>
  <r>
    <x v="2"/>
    <m/>
    <x v="4"/>
    <s v="Modelo de Troféu "/>
    <m/>
    <d v="2026-01-28T00:00:00"/>
    <d v="2026-02-10T00:00:00"/>
    <x v="0"/>
    <x v="2"/>
    <x v="2"/>
    <x v="1"/>
    <x v="2"/>
    <s v="05/02 - Enviado para aprovação."/>
  </r>
  <r>
    <x v="2"/>
    <m/>
    <x v="4"/>
    <s v="Modelo de Camisetas Atletas"/>
    <m/>
    <d v="2026-01-28T00:00:00"/>
    <d v="2026-02-10T00:00:00"/>
    <x v="0"/>
    <x v="2"/>
    <x v="2"/>
    <x v="1"/>
    <x v="1"/>
    <m/>
  </r>
  <r>
    <x v="2"/>
    <m/>
    <x v="4"/>
    <s v="Ideias de Ativação Espaço Cooperado COCRED"/>
    <m/>
    <d v="2026-01-28T00:00:00"/>
    <d v="2026-03-10T00:00:00"/>
    <x v="6"/>
    <x v="2"/>
    <x v="2"/>
    <x v="1"/>
    <x v="1"/>
    <m/>
  </r>
  <r>
    <x v="2"/>
    <m/>
    <x v="4"/>
    <s v="Jornada CRM (E-mail Mkt) 01 - Cooperados Filtrados e Atletas Interessados | Grupo VIP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1 - Cooperados Filtrados e Atletas Interessados | Grupo VIP Abertura antecipada 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1 - Cooperados Filtrados e Atletas Interessados | É amanhã abertura das vendas no GRUPO VIP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1 - Cooperados Filtrados e Atletas Interessados | Vendas Gerais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| confirmação de inscrição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Cooperados | Divulgação do espaço cooperado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Não Cooperados | Abertura de Conta + Espaço cooperado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| Informativo para atletas patrociados sobre o envio de comprovação para não utilização da camiseta COCRD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| Informativo sobre funcionamento do tempo Bruto da prova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| Divulgação do Kit e informações de retirada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Ingresso solidário | lembrete do alimento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- Cooperados| Informações da Corrida + Circuito + Espaço Cooperados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- Não cooperados| Informações da Corrida + Circuito + Espaço Cooperados + Abertura de Conta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| Pesquisa de Satisfação + Confirmação Corrida de Sertãozinho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Derivação | Pesquisa de Satisfação + Confirmação Corrida de Sertãozinho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Não cooperados| Agradecer participação + Abertura de Conta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| Dicas de saúde: preparo para a prova e recuperação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2 - Inscritos | Retirada de Kit por terceiros e passo a passo de como enviar o documento necessário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3 - Abancodono de Carrinho - 1º chamada após o abandono, reforçando o valor do lote e ingresso solidário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3 - Abancodono de Carrinho - Lembrete de mudança de lote Promocional Para 1º lote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3 - Abancodono de Carrinho - Lembrete de mudança de 1º lote para 2º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Jornada CRM (E-mail Mkt) 03 - Abancodono de Carrinho - Lembrete de mudança de 2º lote para 3º"/>
    <m/>
    <d v="2026-01-30T00:00:00"/>
    <d v="2026-01-30T00:00:00"/>
    <x v="0"/>
    <x v="2"/>
    <x v="2"/>
    <x v="1"/>
    <x v="1"/>
    <s v="Executado internamente, pois foi identificada a possíbilidade do fluxo com a contratação do CRM. Como o prazo era curto, foi feito sem acionar a ID com base no e-mail enviado para aprovação em dias anteriores. "/>
  </r>
  <r>
    <x v="2"/>
    <m/>
    <x v="4"/>
    <s v="E-mail Geral informando | Sold out Corrida"/>
    <m/>
    <d v="2026-01-30T00:00:00"/>
    <d v="2026-01-30T00:00:00"/>
    <x v="0"/>
    <x v="2"/>
    <x v="2"/>
    <x v="1"/>
    <x v="1"/>
    <m/>
  </r>
  <r>
    <x v="2"/>
    <m/>
    <x v="4"/>
    <s v="Lading Page de abertua de conta digital"/>
    <m/>
    <d v="2026-01-30T00:00:00"/>
    <d v="2026-02-13T00:00:00"/>
    <x v="7"/>
    <x v="2"/>
    <x v="2"/>
    <x v="1"/>
    <x v="1"/>
    <m/>
  </r>
  <r>
    <x v="2"/>
    <m/>
    <x v="5"/>
    <s v="Solicitação de novo naming para o instagram CONTA COM A COCRED"/>
    <m/>
    <d v="2026-01-08T00:00:00"/>
    <d v="2026-01-19T00:00:00"/>
    <x v="0"/>
    <x v="2"/>
    <x v="2"/>
    <x v="0"/>
    <x v="0"/>
    <s v="19/01 - Envio de PPTX com sugestões de naming e logo._x000a_19/01 - Envio de feedbacks, cocred, para ajustes e decisão de seguir com o naming COCRED COMUNIDADE com solicitação da ID ajustada para o dia 21/01_x000a_21/01 - Arquivo enviado com os ajustes necessários. Como ele precisava ser inserido no briefing para a diretoria, foi realizado um pequeno ajuste internamente. _x000a_27/01 - Identidade aprovada pela diretoria"/>
  </r>
  <r>
    <x v="2"/>
    <m/>
    <x v="5"/>
    <s v="Solicitação de KV de como o conteúdo será trabalhado na página"/>
    <m/>
    <d v="2026-01-08T00:00:00"/>
    <d v="2026-01-19T00:00:00"/>
    <x v="0"/>
    <x v="2"/>
    <x v="2"/>
    <x v="0"/>
    <x v="0"/>
    <s v="19/01 - O KV foi aparovado. "/>
  </r>
  <r>
    <x v="2"/>
    <m/>
    <x v="5"/>
    <s v="Carrossel com levantamento de educação social e educacional "/>
    <m/>
    <d v="2026-01-08T00:00:00"/>
    <d v="2026-01-30T00:00:00"/>
    <x v="0"/>
    <x v="2"/>
    <x v="2"/>
    <x v="0"/>
    <x v="0"/>
    <s v="19/01 - O Carrossel foi exeutado como forma de KV, o design foi aprovado. Esse arquivo está passando por ajustes interno, textos, para facilitar a aprovação. "/>
  </r>
  <r>
    <x v="2"/>
    <m/>
    <x v="5"/>
    <s v="E-mail interno comunicando a mudança para os colaboradores "/>
    <m/>
    <d v="2026-01-08T00:00:00"/>
    <d v="2026-02-10T00:00:00"/>
    <x v="0"/>
    <x v="2"/>
    <x v="2"/>
    <x v="0"/>
    <x v="0"/>
    <s v="COCRED: Ajuste do Carrossel para derivação do e-mail, para acelerar a comunicação."/>
  </r>
  <r>
    <x v="2"/>
    <m/>
    <x v="5"/>
    <s v="Roteiro: Vídeo Manifesto"/>
    <m/>
    <d v="2026-01-08T00:00:00"/>
    <d v="2026-01-30T00:00:00"/>
    <x v="0"/>
    <x v="2"/>
    <x v="2"/>
    <x v="2"/>
    <x v="2"/>
    <s v="02/02 - Recebimento do roteiro do manifesto no Jira. Ele está em ajustes interno, com a Lari, para aprovação. "/>
  </r>
  <r>
    <x v="2"/>
    <m/>
    <x v="5"/>
    <s v="Execução Vídeo Manifesto "/>
    <m/>
    <d v="2026-01-27T00:00:00"/>
    <d v="2026-02-09T00:00:00"/>
    <x v="0"/>
    <x v="2"/>
    <x v="2"/>
    <x v="2"/>
    <x v="1"/>
    <s v="ID está aguardando o roteiro aprovado. "/>
  </r>
  <r>
    <x v="2"/>
    <m/>
    <x v="5"/>
    <s v="Estudo/Avaliação de criação do canal no youtube e tik tok para a COCRED COMUNIDADE; "/>
    <m/>
    <d v="2026-01-28T00:00:00"/>
    <d v="2026-03-10T00:00:00"/>
    <x v="6"/>
    <x v="2"/>
    <x v="2"/>
    <x v="2"/>
    <x v="1"/>
    <m/>
  </r>
  <r>
    <x v="2"/>
    <m/>
    <x v="5"/>
    <s v="Planejamento de conteúdo para a mídia COCRED COMUNIDADE, com estudo de editorias e estratégia da mída"/>
    <m/>
    <d v="2026-01-28T00:00:00"/>
    <d v="2026-03-10T00:00:00"/>
    <x v="6"/>
    <x v="2"/>
    <x v="2"/>
    <x v="1"/>
    <x v="1"/>
    <m/>
  </r>
  <r>
    <x v="2"/>
    <m/>
    <x v="6"/>
    <s v="Desenvolvimento do KV para a edição 2026"/>
    <m/>
    <d v="2025-12-22T00:00:00"/>
    <d v="2026-01-14T00:00:00"/>
    <x v="0"/>
    <x v="2"/>
    <x v="2"/>
    <x v="0"/>
    <x v="0"/>
    <s v="07/01 - Enviado para aprovação."/>
  </r>
  <r>
    <x v="2"/>
    <m/>
    <x v="6"/>
    <s v="Desenvolvimento de Lading page universitário e jovem para inscrição"/>
    <m/>
    <d v="2025-12-22T00:00:00"/>
    <d v="2026-02-03T00:00:00"/>
    <x v="0"/>
    <x v="2"/>
    <x v="2"/>
    <x v="1"/>
    <x v="1"/>
    <m/>
  </r>
  <r>
    <x v="2"/>
    <m/>
    <x v="6"/>
    <s v="Solicitação do plano de comunicação para Edição Universitária"/>
    <m/>
    <d v="2026-01-28T00:00:00"/>
    <d v="2026-03-06T00:00:00"/>
    <x v="8"/>
    <x v="2"/>
    <x v="2"/>
    <x v="1"/>
    <x v="1"/>
    <m/>
  </r>
  <r>
    <x v="2"/>
    <m/>
    <x v="6"/>
    <s v="Apoio para ideias de kit (brindes) para os participantes"/>
    <m/>
    <d v="2026-01-28T00:00:00"/>
    <d v="2026-02-18T00:00:00"/>
    <x v="9"/>
    <x v="2"/>
    <x v="2"/>
    <x v="1"/>
    <x v="1"/>
    <m/>
  </r>
  <r>
    <x v="2"/>
    <m/>
    <x v="6"/>
    <s v="01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6"/>
    <s v="2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6"/>
    <s v="3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6"/>
    <s v="4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6"/>
    <s v="5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6"/>
    <s v="6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6"/>
    <s v="7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6"/>
    <s v="8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6"/>
    <s v="9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6"/>
    <s v="10 - Cards de whatsapp para conversa com os alunos | Antifragil | textos enviado para execução de desing"/>
    <m/>
    <d v="2026-02-03T00:00:00"/>
    <d v="2026-02-20T00:00:00"/>
    <x v="4"/>
    <x v="2"/>
    <x v="2"/>
    <x v="1"/>
    <x v="1"/>
    <m/>
  </r>
  <r>
    <x v="2"/>
    <m/>
    <x v="7"/>
    <s v="Identidade Visual do Projeto"/>
    <m/>
    <d v="2026-01-09T00:00:00"/>
    <d v="2026-02-04T00:00:00"/>
    <x v="0"/>
    <x v="2"/>
    <x v="2"/>
    <x v="1"/>
    <x v="3"/>
    <s v="Em visualização interna para envio das considerações. "/>
  </r>
  <r>
    <x v="2"/>
    <m/>
    <x v="7"/>
    <s v="KV do Projeto"/>
    <m/>
    <d v="2026-01-09T00:00:00"/>
    <d v="2026-02-04T00:00:00"/>
    <x v="0"/>
    <x v="2"/>
    <x v="2"/>
    <x v="1"/>
    <x v="3"/>
    <s v="Em visualização interna para envio das considerações. "/>
  </r>
  <r>
    <x v="2"/>
    <m/>
    <x v="8"/>
    <s v="Nova Identidade para o Cinema na Praça, pois não será mais Circuito Cultural"/>
    <m/>
    <d v="2026-01-09T00:00:00"/>
    <d v="2026-02-13T00:00:00"/>
    <x v="7"/>
    <x v="2"/>
    <x v="0"/>
    <x v="1"/>
    <x v="3"/>
    <s v="05/02/2026 - Recebimento do arquivo._x000a_09/02/2026 - COCRED: envio de solicitação de ajustes."/>
  </r>
  <r>
    <x v="2"/>
    <m/>
    <x v="8"/>
    <s v="Novo KV para edições de 2026"/>
    <m/>
    <d v="2026-01-09T00:00:00"/>
    <d v="2026-02-13T00:00:00"/>
    <x v="7"/>
    <x v="2"/>
    <x v="0"/>
    <x v="1"/>
    <x v="3"/>
    <s v="05/02/2026 - Recebimento do arquivo._x000a_09/02/2026 - COCRED: envio de solicitação de ajustes."/>
  </r>
  <r>
    <x v="2"/>
    <m/>
    <x v="8"/>
    <s v="Vídeo de abertura do cinema - informativos"/>
    <m/>
    <d v="2026-01-09T00:00:00"/>
    <d v="2026-03-23T00:00:00"/>
    <x v="10"/>
    <x v="2"/>
    <x v="2"/>
    <x v="1"/>
    <x v="1"/>
    <m/>
  </r>
  <r>
    <x v="2"/>
    <m/>
    <x v="8"/>
    <s v="Vídeo intitucional sobre cooperativismo"/>
    <m/>
    <d v="2026-01-09T00:00:00"/>
    <d v="2026-03-23T00:00:00"/>
    <x v="10"/>
    <x v="2"/>
    <x v="2"/>
    <x v="1"/>
    <x v="1"/>
    <m/>
  </r>
  <r>
    <x v="2"/>
    <m/>
    <x v="8"/>
    <s v="Plano de mídia"/>
    <m/>
    <d v="2026-01-09T00:00:00"/>
    <d v="2026-02-13T00:00:00"/>
    <x v="7"/>
    <x v="2"/>
    <x v="2"/>
    <x v="1"/>
    <x v="1"/>
    <m/>
  </r>
  <r>
    <x v="2"/>
    <m/>
    <x v="8"/>
    <s v="Spot para rádio e carro de som "/>
    <m/>
    <d v="2026-01-09T00:00:00"/>
    <d v="2026-03-09T00:00:00"/>
    <x v="11"/>
    <x v="2"/>
    <x v="2"/>
    <x v="1"/>
    <x v="1"/>
    <m/>
  </r>
  <r>
    <x v="2"/>
    <m/>
    <x v="8"/>
    <s v="Outdoor"/>
    <m/>
    <d v="2026-01-09T00:00:00"/>
    <d v="2026-03-09T00:00:00"/>
    <x v="11"/>
    <x v="2"/>
    <x v="2"/>
    <x v="1"/>
    <x v="1"/>
    <m/>
  </r>
  <r>
    <x v="2"/>
    <m/>
    <x v="8"/>
    <s v="Revista"/>
    <m/>
    <d v="2026-01-09T00:00:00"/>
    <d v="2026-03-09T00:00:00"/>
    <x v="11"/>
    <x v="2"/>
    <x v="2"/>
    <x v="1"/>
    <x v="1"/>
    <m/>
  </r>
  <r>
    <x v="2"/>
    <m/>
    <x v="8"/>
    <s v="Jornal Local"/>
    <m/>
    <d v="2026-01-09T00:00:00"/>
    <d v="2026-03-09T00:00:00"/>
    <x v="11"/>
    <x v="2"/>
    <x v="2"/>
    <x v="1"/>
    <x v="1"/>
    <m/>
  </r>
  <r>
    <x v="2"/>
    <m/>
    <x v="8"/>
    <s v="Modelos de e-mail marketing externo"/>
    <m/>
    <d v="2026-01-28T00:00:00"/>
    <d v="2026-03-09T00:00:00"/>
    <x v="11"/>
    <x v="2"/>
    <x v="2"/>
    <x v="1"/>
    <x v="1"/>
    <m/>
  </r>
  <r>
    <x v="2"/>
    <m/>
    <x v="8"/>
    <s v="Modelos de e-mail marketing interno"/>
    <m/>
    <d v="2026-01-28T00:00:00"/>
    <d v="2026-03-09T00:00:00"/>
    <x v="11"/>
    <x v="2"/>
    <x v="2"/>
    <x v="1"/>
    <x v="1"/>
    <m/>
  </r>
  <r>
    <x v="2"/>
    <m/>
    <x v="8"/>
    <s v="Modelos de card de whatsapp "/>
    <m/>
    <d v="2026-01-28T00:00:00"/>
    <d v="2026-03-09T00:00:00"/>
    <x v="11"/>
    <x v="2"/>
    <x v="2"/>
    <x v="1"/>
    <x v="1"/>
    <m/>
  </r>
  <r>
    <x v="2"/>
    <m/>
    <x v="8"/>
    <s v="Impresso A3"/>
    <m/>
    <d v="2026-01-28T00:00:00"/>
    <d v="2026-03-09T00:00:00"/>
    <x v="11"/>
    <x v="2"/>
    <x v="2"/>
    <x v="1"/>
    <x v="1"/>
    <m/>
  </r>
  <r>
    <x v="2"/>
    <m/>
    <x v="8"/>
    <s v="Folder"/>
    <m/>
    <d v="2026-01-28T00:00:00"/>
    <d v="2026-03-09T00:00:00"/>
    <x v="11"/>
    <x v="2"/>
    <x v="2"/>
    <x v="1"/>
    <x v="1"/>
    <m/>
  </r>
  <r>
    <x v="2"/>
    <m/>
    <x v="8"/>
    <s v="Imagina animada recomendando as páginas da COCRED"/>
    <m/>
    <d v="2026-01-28T00:00:00"/>
    <d v="2026-03-23T00:00:00"/>
    <x v="10"/>
    <x v="2"/>
    <x v="2"/>
    <x v="1"/>
    <x v="1"/>
    <m/>
  </r>
  <r>
    <x v="2"/>
    <m/>
    <x v="8"/>
    <s v="Imagem ilustrada com QR Code com confirmação de presença "/>
    <m/>
    <d v="2026-01-28T00:00:00"/>
    <d v="2026-03-23T00:00:00"/>
    <x v="10"/>
    <x v="2"/>
    <x v="2"/>
    <x v="1"/>
    <x v="1"/>
    <m/>
  </r>
  <r>
    <x v="2"/>
    <m/>
    <x v="8"/>
    <s v="PPTX com ideias de brinde - como copo de pipoca "/>
    <m/>
    <d v="2026-01-28T00:00:00"/>
    <d v="2026-03-16T00:00:00"/>
    <x v="12"/>
    <x v="2"/>
    <x v="2"/>
    <x v="1"/>
    <x v="1"/>
    <m/>
  </r>
  <r>
    <x v="2"/>
    <m/>
    <x v="8"/>
    <s v="Lona caminhão"/>
    <m/>
    <d v="2026-01-28T00:00:00"/>
    <d v="2026-04-01T00:00:00"/>
    <x v="13"/>
    <x v="2"/>
    <x v="2"/>
    <x v="1"/>
    <x v="1"/>
    <m/>
  </r>
  <r>
    <x v="2"/>
    <m/>
    <x v="8"/>
    <s v="Faixa adesivo tela cinema"/>
    <m/>
    <d v="2026-01-28T00:00:00"/>
    <d v="2026-04-01T00:00:00"/>
    <x v="13"/>
    <x v="2"/>
    <x v="2"/>
    <x v="1"/>
    <x v="1"/>
    <m/>
  </r>
  <r>
    <x v="2"/>
    <m/>
    <x v="8"/>
    <s v="Faixas gradil "/>
    <m/>
    <d v="2026-01-28T00:00:00"/>
    <d v="2026-04-01T00:00:00"/>
    <x v="13"/>
    <x v="2"/>
    <x v="2"/>
    <x v="1"/>
    <x v="1"/>
    <m/>
  </r>
  <r>
    <x v="2"/>
    <m/>
    <x v="8"/>
    <s v="Itens promocionais - como possível backdrop "/>
    <m/>
    <d v="2026-01-28T00:00:00"/>
    <d v="2026-04-01T00:00:00"/>
    <x v="13"/>
    <x v="2"/>
    <x v="2"/>
    <x v="1"/>
    <x v="1"/>
    <m/>
  </r>
  <r>
    <x v="2"/>
    <m/>
    <x v="9"/>
    <s v="Kit de e-mails internos - 24 peças - com informações para converter novos voluntários"/>
    <m/>
    <d v="2026-01-21T00:00:00"/>
    <d v="2026-07-27T00:00:00"/>
    <x v="14"/>
    <x v="2"/>
    <x v="2"/>
    <x v="1"/>
    <x v="1"/>
    <m/>
  </r>
  <r>
    <x v="2"/>
    <m/>
    <x v="9"/>
    <s v="E-mail boas vidas a novos voluntários"/>
    <m/>
    <d v="2026-01-21T00:00:00"/>
    <d v="2026-07-27T00:00:00"/>
    <x v="14"/>
    <x v="2"/>
    <x v="2"/>
    <x v="1"/>
    <x v="1"/>
    <m/>
  </r>
  <r>
    <x v="2"/>
    <m/>
    <x v="9"/>
    <s v="E-mail: faça parte do grupo de whatsapp de voluntários"/>
    <m/>
    <d v="2026-01-21T00:00:00"/>
    <d v="2026-07-27T00:00:00"/>
    <x v="14"/>
    <x v="2"/>
    <x v="2"/>
    <x v="1"/>
    <x v="1"/>
    <m/>
  </r>
  <r>
    <x v="2"/>
    <m/>
    <x v="9"/>
    <s v="E-mail: Qual projeto mais combina com vocÊ. Escolha em quais ações deseja fazer parte"/>
    <m/>
    <d v="2026-01-21T00:00:00"/>
    <d v="2026-07-27T00:00:00"/>
    <x v="14"/>
    <x v="2"/>
    <x v="2"/>
    <x v="1"/>
    <x v="1"/>
    <m/>
  </r>
  <r>
    <x v="2"/>
    <m/>
    <x v="9"/>
    <s v="E-mail: Impacto mensal das ações"/>
    <m/>
    <d v="2026-01-21T00:00:00"/>
    <d v="2026-07-27T00:00:00"/>
    <x v="14"/>
    <x v="2"/>
    <x v="2"/>
    <x v="1"/>
    <x v="1"/>
    <m/>
  </r>
  <r>
    <x v="2"/>
    <m/>
    <x v="9"/>
    <s v="E-mail: O que ocorreu no mês X. Com informações das ações"/>
    <m/>
    <d v="2026-01-21T00:00:00"/>
    <d v="2026-07-27T00:00:00"/>
    <x v="14"/>
    <x v="2"/>
    <x v="2"/>
    <x v="1"/>
    <x v="1"/>
    <m/>
  </r>
  <r>
    <x v="2"/>
    <m/>
    <x v="9"/>
    <s v="E-mail: Reconhecimento de voluntáriados"/>
    <m/>
    <d v="2026-01-21T00:00:00"/>
    <d v="2026-07-27T00:00:00"/>
    <x v="14"/>
    <x v="2"/>
    <x v="2"/>
    <x v="1"/>
    <x v="1"/>
    <m/>
  </r>
  <r>
    <x v="2"/>
    <m/>
    <x v="9"/>
    <s v="E-mail: Seja um voluntário na ação X"/>
    <m/>
    <d v="2026-01-21T00:00:00"/>
    <d v="2026-07-27T00:00:00"/>
    <x v="14"/>
    <x v="2"/>
    <x v="2"/>
    <x v="1"/>
    <x v="1"/>
    <m/>
  </r>
  <r>
    <x v="2"/>
    <m/>
    <x v="9"/>
    <s v="Cards para whatsapp "/>
    <m/>
    <d v="2026-01-21T00:00:00"/>
    <d v="2026-07-27T00:00:00"/>
    <x v="14"/>
    <x v="2"/>
    <x v="2"/>
    <x v="1"/>
    <x v="1"/>
    <m/>
  </r>
  <r>
    <x v="2"/>
    <m/>
    <x v="9"/>
    <s v="Peça de reconhecumento - Voluntário do mês"/>
    <m/>
    <d v="2026-01-21T00:00:00"/>
    <d v="2026-07-27T00:00:00"/>
    <x v="14"/>
    <x v="2"/>
    <x v="2"/>
    <x v="1"/>
    <x v="1"/>
    <m/>
  </r>
  <r>
    <x v="2"/>
    <m/>
    <x v="9"/>
    <s v="Peça de reconhecimento - ações "/>
    <m/>
    <d v="2026-01-21T00:00:00"/>
    <d v="2026-07-27T00:00:00"/>
    <x v="14"/>
    <x v="2"/>
    <x v="2"/>
    <x v="1"/>
    <x v="1"/>
    <m/>
  </r>
  <r>
    <x v="2"/>
    <m/>
    <x v="9"/>
    <s v="Peça de reconhecimento - Agradecimentos"/>
    <m/>
    <d v="2026-01-21T00:00:00"/>
    <d v="2026-07-27T00:00:00"/>
    <x v="14"/>
    <x v="2"/>
    <x v="2"/>
    <x v="1"/>
    <x v="1"/>
    <m/>
  </r>
  <r>
    <x v="2"/>
    <m/>
    <x v="9"/>
    <s v="E-mails fomentando, informando, cada projeto para a equipe"/>
    <m/>
    <d v="2026-01-21T00:00:00"/>
    <d v="2026-07-27T00:00:00"/>
    <x v="14"/>
    <x v="2"/>
    <x v="2"/>
    <x v="1"/>
    <x v="1"/>
    <m/>
  </r>
  <r>
    <x v="2"/>
    <m/>
    <x v="9"/>
    <s v="Cards para divulgação e adesão de novos voluntários "/>
    <m/>
    <d v="2026-01-28T00:00:00"/>
    <d v="2026-02-02T00:00:00"/>
    <x v="0"/>
    <x v="2"/>
    <x v="2"/>
    <x v="1"/>
    <x v="1"/>
    <m/>
  </r>
  <r>
    <x v="2"/>
    <m/>
    <x v="9"/>
    <s v="Evento dia 12/02 - Convite oficial e-mail"/>
    <m/>
    <d v="2026-01-28T00:00:00"/>
    <d v="2026-02-02T00:00:00"/>
    <x v="0"/>
    <x v="2"/>
    <x v="2"/>
    <x v="1"/>
    <x v="1"/>
    <m/>
  </r>
  <r>
    <x v="2"/>
    <m/>
    <x v="9"/>
    <s v="Evento dia 12/02 - Convite oficial whatsapp "/>
    <m/>
    <d v="2026-01-28T00:00:00"/>
    <d v="2026-02-02T00:00:00"/>
    <x v="0"/>
    <x v="2"/>
    <x v="2"/>
    <x v="1"/>
    <x v="1"/>
    <m/>
  </r>
  <r>
    <x v="2"/>
    <m/>
    <x v="9"/>
    <s v="Evento dia 12/02 - E-mail de lembrete"/>
    <m/>
    <d v="2026-01-28T00:00:00"/>
    <d v="2026-02-02T00:00:00"/>
    <x v="0"/>
    <x v="2"/>
    <x v="2"/>
    <x v="1"/>
    <x v="1"/>
    <m/>
  </r>
  <r>
    <x v="2"/>
    <m/>
    <x v="9"/>
    <s v="Evento dia 12/02 - E-mail de vai começar"/>
    <m/>
    <d v="2026-01-28T00:00:00"/>
    <d v="2026-02-02T00:00:00"/>
    <x v="0"/>
    <x v="2"/>
    <x v="2"/>
    <x v="1"/>
    <x v="1"/>
    <m/>
  </r>
  <r>
    <x v="2"/>
    <m/>
    <x v="9"/>
    <s v="Evento dia do voluntáriado: apoio com ideas e ações"/>
    <m/>
    <d v="2026-01-21T00:00:00"/>
    <d v="2026-07-27T00:00:00"/>
    <x v="14"/>
    <x v="2"/>
    <x v="2"/>
    <x v="1"/>
    <x v="1"/>
    <m/>
  </r>
  <r>
    <x v="2"/>
    <m/>
    <x v="9"/>
    <s v="Evento dia do voluntáriado: Save the date 04/12"/>
    <m/>
    <d v="2026-01-21T00:00:00"/>
    <d v="2026-07-27T00:00:00"/>
    <x v="14"/>
    <x v="2"/>
    <x v="2"/>
    <x v="1"/>
    <x v="1"/>
    <m/>
  </r>
  <r>
    <x v="2"/>
    <m/>
    <x v="9"/>
    <s v="Evento dia do voluntáriado: Convite"/>
    <m/>
    <d v="2026-01-21T00:00:00"/>
    <d v="2026-07-27T00:00:00"/>
    <x v="14"/>
    <x v="2"/>
    <x v="2"/>
    <x v="1"/>
    <x v="1"/>
    <m/>
  </r>
  <r>
    <x v="2"/>
    <m/>
    <x v="9"/>
    <s v="Evento dia do voluntáriado: cards de divulgação no grupo "/>
    <m/>
    <d v="2026-01-21T00:00:00"/>
    <d v="2026-07-27T00:00:00"/>
    <x v="14"/>
    <x v="2"/>
    <x v="2"/>
    <x v="1"/>
    <x v="1"/>
    <m/>
  </r>
  <r>
    <x v="2"/>
    <m/>
    <x v="9"/>
    <s v="Evento dia do voluntáriado: e-mail interno informando a ação"/>
    <m/>
    <d v="2026-01-21T00:00:00"/>
    <d v="2026-07-27T00:00:00"/>
    <x v="14"/>
    <x v="2"/>
    <x v="2"/>
    <x v="1"/>
    <x v="1"/>
    <m/>
  </r>
  <r>
    <x v="2"/>
    <m/>
    <x v="9"/>
    <s v="Evento dia do voluntáriado: peças para divulgação de premios "/>
    <m/>
    <d v="2026-01-21T00:00:00"/>
    <d v="2026-07-27T00:00:00"/>
    <x v="14"/>
    <x v="2"/>
    <x v="2"/>
    <x v="1"/>
    <x v="1"/>
    <m/>
  </r>
  <r>
    <x v="2"/>
    <m/>
    <x v="9"/>
    <s v="Ideias de Kit Brindes para voluntáriados"/>
    <m/>
    <d v="2026-01-28T00:00:00"/>
    <d v="2026-02-05T00:00:00"/>
    <x v="0"/>
    <x v="2"/>
    <x v="2"/>
    <x v="1"/>
    <x v="1"/>
    <m/>
  </r>
  <r>
    <x v="2"/>
    <m/>
    <x v="10"/>
    <s v="Alinhamento de ideias para desenvolvimento do evento"/>
    <m/>
    <d v="2026-01-28T00:00:00"/>
    <d v="2026-02-04T00:00:00"/>
    <x v="0"/>
    <x v="2"/>
    <x v="2"/>
    <x v="1"/>
    <x v="1"/>
    <m/>
  </r>
  <r>
    <x v="2"/>
    <m/>
    <x v="10"/>
    <s v="Identidade Projeto"/>
    <m/>
    <d v="2026-02-09T00:00:00"/>
    <d v="2026-03-16T00:00:00"/>
    <x v="12"/>
    <x v="2"/>
    <x v="2"/>
    <x v="1"/>
    <x v="1"/>
    <m/>
  </r>
  <r>
    <x v="2"/>
    <m/>
    <x v="10"/>
    <s v="KV do Projeto"/>
    <m/>
    <d v="2026-02-09T00:00:00"/>
    <d v="2026-03-16T00:00:00"/>
    <x v="12"/>
    <x v="2"/>
    <x v="2"/>
    <x v="1"/>
    <x v="1"/>
    <m/>
  </r>
  <r>
    <x v="0"/>
    <m/>
    <x v="11"/>
    <s v="Vitrine dos PAs"/>
    <m/>
    <d v="2026-02-04T00:00:00"/>
    <d v="2026-02-23T00:00:00"/>
    <x v="15"/>
    <x v="0"/>
    <x v="2"/>
    <x v="2"/>
    <x v="2"/>
    <s v="Obs.: Quando o Dal aprovar, vai ter que desmembrar as vitrines para 42 PA´s"/>
  </r>
  <r>
    <x v="0"/>
    <m/>
    <x v="11"/>
    <s v="Placa de Rodovia 15x5m"/>
    <m/>
    <d v="2026-01-05T00:00:00"/>
    <d v="2026-02-04T00:00:00"/>
    <x v="0"/>
    <x v="1"/>
    <x v="2"/>
    <x v="2"/>
    <x v="2"/>
    <s v="Obs.: Falta o Dal aprovar"/>
  </r>
  <r>
    <x v="0"/>
    <m/>
    <x v="11"/>
    <s v="Placa de Rodovia 18x6m"/>
    <m/>
    <d v="2026-01-06T00:00:00"/>
    <d v="2026-02-04T00:00:00"/>
    <x v="0"/>
    <x v="1"/>
    <x v="2"/>
    <x v="2"/>
    <x v="2"/>
    <s v="Obs.: Falta o Dal aprovar"/>
  </r>
  <r>
    <x v="0"/>
    <m/>
    <x v="11"/>
    <s v="Relógios da praça e parque linear"/>
    <m/>
    <d v="2026-02-04T00:00:00"/>
    <d v="2026-02-12T00:00:00"/>
    <x v="5"/>
    <x v="1"/>
    <x v="2"/>
    <x v="2"/>
    <x v="2"/>
    <s v="Obs.: Material internalizado"/>
  </r>
  <r>
    <x v="1"/>
    <m/>
    <x v="12"/>
    <s v="Produção de roteiro do vídeo da campanha e aprovação com a equipe de Marketing"/>
    <m/>
    <d v="2026-01-01T00:00:00"/>
    <d v="2026-01-28T00:00:00"/>
    <x v="0"/>
    <x v="0"/>
    <x v="0"/>
    <x v="0"/>
    <x v="0"/>
    <m/>
  </r>
  <r>
    <x v="1"/>
    <m/>
    <x v="12"/>
    <s v="Produção de roteiro do spot da campanha e aprovação com a equipe de Marketing"/>
    <m/>
    <d v="2026-01-01T00:00:00"/>
    <d v="2026-01-28T00:00:00"/>
    <x v="0"/>
    <x v="0"/>
    <x v="0"/>
    <x v="0"/>
    <x v="0"/>
    <m/>
  </r>
  <r>
    <x v="1"/>
    <m/>
    <x v="12"/>
    <s v="Contratação de produtora audiovisual para execução da campanha"/>
    <m/>
    <d v="2026-01-01T00:00:00"/>
    <d v="2026-01-28T00:00:00"/>
    <x v="0"/>
    <x v="0"/>
    <x v="0"/>
    <x v="0"/>
    <x v="0"/>
    <m/>
  </r>
  <r>
    <x v="1"/>
    <m/>
    <x v="12"/>
    <s v="Captação e gravação dos materiais audiovisuais da campanha"/>
    <m/>
    <d v="2026-01-01T00:00:00"/>
    <d v="2026-02-12T00:00:00"/>
    <x v="5"/>
    <x v="0"/>
    <x v="0"/>
    <x v="1"/>
    <x v="1"/>
    <m/>
  </r>
  <r>
    <x v="1"/>
    <m/>
    <x v="12"/>
    <s v="Entrega de vídeo comercial do produto no formato horizontal"/>
    <m/>
    <d v="2026-01-01T00:00:00"/>
    <d v="2026-02-17T00:00:00"/>
    <x v="16"/>
    <x v="0"/>
    <x v="0"/>
    <x v="1"/>
    <x v="1"/>
    <m/>
  </r>
  <r>
    <x v="1"/>
    <m/>
    <x v="12"/>
    <s v="Entrega de vídeo comercial do produto no formato vertical"/>
    <m/>
    <d v="2026-01-01T00:00:00"/>
    <d v="2026-02-17T00:00:00"/>
    <x v="16"/>
    <x v="0"/>
    <x v="0"/>
    <x v="1"/>
    <x v="1"/>
    <m/>
  </r>
  <r>
    <x v="1"/>
    <m/>
    <x v="12"/>
    <s v="Produção de spot de áudio de 30 segundos"/>
    <m/>
    <d v="2026-01-01T00:00:00"/>
    <d v="2026-02-17T00:00:00"/>
    <x v="16"/>
    <x v="0"/>
    <x v="0"/>
    <x v="1"/>
    <x v="1"/>
    <m/>
  </r>
  <r>
    <x v="1"/>
    <m/>
    <x v="12"/>
    <s v="Elaboração do plano de mídia da campanha"/>
    <m/>
    <d v="2026-01-01T00:00:00"/>
    <d v="2026-02-10T00:00:00"/>
    <x v="0"/>
    <x v="0"/>
    <x v="0"/>
    <x v="1"/>
    <x v="1"/>
    <m/>
  </r>
  <r>
    <x v="1"/>
    <m/>
    <x v="12"/>
    <s v="Execução e compra de mídia conforme plano aprovado"/>
    <m/>
    <d v="2026-01-01T00:00:00"/>
    <d v="2026-02-17T00:00:00"/>
    <x v="16"/>
    <x v="0"/>
    <x v="0"/>
    <x v="1"/>
    <x v="1"/>
    <m/>
  </r>
  <r>
    <x v="1"/>
    <m/>
    <x v="12"/>
    <s v="Criação de KV - card de WhatsApp para apoio comercial dos gerentes"/>
    <m/>
    <d v="2026-02-04T00:00:00"/>
    <d v="2026-02-17T00:00:00"/>
    <x v="16"/>
    <x v="0"/>
    <x v="0"/>
    <x v="1"/>
    <x v="1"/>
    <m/>
  </r>
  <r>
    <x v="1"/>
    <m/>
    <x v="12"/>
    <s v="Criação de e-mail marketing para cooperados propensos ao produto (início de jornada - conta digital)"/>
    <m/>
    <d v="2026-02-04T00:00:00"/>
    <d v="2026-02-17T00:00:00"/>
    <x v="16"/>
    <x v="0"/>
    <x v="0"/>
    <x v="1"/>
    <x v="1"/>
    <m/>
  </r>
  <r>
    <x v="1"/>
    <m/>
    <x v="12"/>
    <s v="Criação de e-mail marketing para leads propensos ao produto (início de jornada - conta digital)"/>
    <m/>
    <d v="2026-02-04T00:00:00"/>
    <d v="2026-02-17T00:00:00"/>
    <x v="16"/>
    <x v="0"/>
    <x v="0"/>
    <x v="1"/>
    <x v="1"/>
    <m/>
  </r>
  <r>
    <x v="1"/>
    <m/>
    <x v="12"/>
    <s v="Criação de outdoor da campanha"/>
    <m/>
    <d v="2026-01-01T00:00:00"/>
    <d v="2026-02-17T00:00:00"/>
    <x v="16"/>
    <x v="0"/>
    <x v="0"/>
    <x v="1"/>
    <x v="1"/>
    <m/>
  </r>
  <r>
    <x v="1"/>
    <m/>
    <x v="12"/>
    <s v="Criação de capa para vídeo no YouTube"/>
    <m/>
    <d v="2026-02-04T00:00:00"/>
    <d v="2026-02-17T00:00:00"/>
    <x v="16"/>
    <x v="0"/>
    <x v="0"/>
    <x v="1"/>
    <x v="1"/>
    <m/>
  </r>
  <r>
    <x v="1"/>
    <m/>
    <x v="12"/>
    <s v="Criação de capa para vídeo no Reels"/>
    <m/>
    <d v="2026-02-04T00:00:00"/>
    <d v="2026-02-17T00:00:00"/>
    <x v="16"/>
    <x v="0"/>
    <x v="0"/>
    <x v="1"/>
    <x v="1"/>
    <m/>
  </r>
  <r>
    <x v="1"/>
    <m/>
    <x v="12"/>
    <s v="Criação de banner para o site – versão desktop (1920x854)"/>
    <m/>
    <d v="2026-02-04T00:00:00"/>
    <d v="2026-02-17T00:00:00"/>
    <x v="16"/>
    <x v="0"/>
    <x v="0"/>
    <x v="1"/>
    <x v="1"/>
    <m/>
  </r>
  <r>
    <x v="1"/>
    <m/>
    <x v="12"/>
    <s v="Criação de banner para o site – versão mobile (768x940)"/>
    <m/>
    <d v="2026-02-04T00:00:00"/>
    <d v="2026-02-17T00:00:00"/>
    <x v="16"/>
    <x v="0"/>
    <x v="0"/>
    <x v="1"/>
    <x v="1"/>
    <m/>
  </r>
  <r>
    <x v="1"/>
    <m/>
    <x v="12"/>
    <s v="Criação de banner para o site – versão mobile (643x278)"/>
    <m/>
    <d v="2026-02-04T00:00:00"/>
    <d v="2026-02-17T00:00:00"/>
    <x v="16"/>
    <x v="0"/>
    <x v="0"/>
    <x v="1"/>
    <x v="1"/>
    <m/>
  </r>
  <r>
    <x v="1"/>
    <m/>
    <x v="12"/>
    <s v="Criação de banner para o site – versão mobile (453x580)"/>
    <m/>
    <d v="2026-02-04T00:00:00"/>
    <d v="2026-02-17T00:00:00"/>
    <x v="16"/>
    <x v="0"/>
    <x v="0"/>
    <x v="1"/>
    <x v="1"/>
    <m/>
  </r>
  <r>
    <x v="1"/>
    <m/>
    <x v="12"/>
    <s v="Criação de banner para a intranet com nova dimensão - (1008 px de largura x 553 px de altura)"/>
    <m/>
    <d v="2026-02-04T00:00:00"/>
    <d v="2026-02-17T00:00:00"/>
    <x v="16"/>
    <x v="0"/>
    <x v="0"/>
    <x v="1"/>
    <x v="1"/>
    <m/>
  </r>
  <r>
    <x v="1"/>
    <m/>
    <x v="12"/>
    <s v="Criação de cartaz no formato A2"/>
    <m/>
    <d v="2026-02-04T00:00:00"/>
    <d v="2026-02-17T00:00:00"/>
    <x v="16"/>
    <x v="0"/>
    <x v="0"/>
    <x v="1"/>
    <x v="1"/>
    <m/>
  </r>
  <r>
    <x v="1"/>
    <m/>
    <x v="12"/>
    <s v="Desenvolvimento de conteúdo para TV interna dos PAs (1920x1080)"/>
    <m/>
    <d v="2026-02-04T00:00:00"/>
    <d v="2026-02-17T00:00:00"/>
    <x v="16"/>
    <x v="0"/>
    <x v="0"/>
    <x v="1"/>
    <x v="1"/>
    <m/>
  </r>
  <r>
    <x v="1"/>
    <m/>
    <x v="12"/>
    <s v="Criação de material para painel de LED em São José do Rio Preto"/>
    <m/>
    <d v="2026-02-04T00:00:00"/>
    <d v="2026-02-17T00:00:00"/>
    <x v="16"/>
    <x v="0"/>
    <x v="0"/>
    <x v="1"/>
    <x v="1"/>
    <m/>
  </r>
  <r>
    <x v="1"/>
    <m/>
    <x v="12"/>
    <s v="Criação de material para painel de LED em Marília"/>
    <m/>
    <d v="2026-02-04T00:00:00"/>
    <d v="2026-02-17T00:00:00"/>
    <x v="16"/>
    <x v="0"/>
    <x v="0"/>
    <x v="1"/>
    <x v="1"/>
    <m/>
  </r>
  <r>
    <x v="1"/>
    <m/>
    <x v="12"/>
    <s v="Planejamento de conteúdo nas mídias sociais com derivações da campanha "/>
    <m/>
    <d v="2026-02-04T00:00:00"/>
    <d v="2026-02-13T00:00:00"/>
    <x v="7"/>
    <x v="0"/>
    <x v="0"/>
    <x v="1"/>
    <x v="1"/>
    <m/>
  </r>
  <r>
    <x v="1"/>
    <m/>
    <x v="12"/>
    <s v="Post para blog institucional (produção interna)"/>
    <m/>
    <d v="2026-02-04T00:00:00"/>
    <d v="2026-02-17T00:00:00"/>
    <x v="16"/>
    <x v="0"/>
    <x v="1"/>
    <x v="1"/>
    <x v="1"/>
    <m/>
  </r>
  <r>
    <x v="1"/>
    <m/>
    <x v="12"/>
    <s v="Criação de LP do Produto na RD Station"/>
    <m/>
    <d v="2026-02-04T00:00:00"/>
    <d v="2026-02-17T00:00:00"/>
    <x v="16"/>
    <x v="0"/>
    <x v="0"/>
    <x v="1"/>
    <x v="1"/>
    <m/>
  </r>
  <r>
    <x v="1"/>
    <m/>
    <x v="12"/>
    <s v="Configuração de anúncio no Google e YouTube, direcionando usuários para a LP do produto na RD Station, segmentado para pessoas com interesse no produto (não cooperados), com chamada para abertura de conta digital. "/>
    <m/>
    <d v="2026-02-04T00:00:00"/>
    <d v="2026-02-17T00:00:00"/>
    <x v="16"/>
    <x v="0"/>
    <x v="0"/>
    <x v="1"/>
    <x v="1"/>
    <m/>
  </r>
  <r>
    <x v="1"/>
    <m/>
    <x v="12"/>
    <s v="Anúncio em vídeo no Instagram e Facebook, com botão Clique aqui, direcionando o usuário para a LP do produto (RD Station), segmentado para interessados (não cooperados) com chamada para abertura de conta digital. "/>
    <m/>
    <d v="2026-02-04T00:00:00"/>
    <d v="2026-02-17T00:00:00"/>
    <x v="16"/>
    <x v="0"/>
    <x v="0"/>
    <x v="1"/>
    <x v="1"/>
    <m/>
  </r>
  <r>
    <x v="1"/>
    <m/>
    <x v="12"/>
    <s v="Anúncio estático no Instagram e Facebook, com foco na captação de leads em formulário nativo, segmentado para pessoas interessadas no produto (não cooperados), por meio de configuração manual, com chamada para abertura de conta digital. "/>
    <m/>
    <d v="2026-02-04T00:00:00"/>
    <d v="2026-02-17T00:00:00"/>
    <x v="16"/>
    <x v="0"/>
    <x v="0"/>
    <x v="1"/>
    <x v="1"/>
    <m/>
  </r>
  <r>
    <x v="1"/>
    <m/>
    <x v="12"/>
    <s v="Anúncio estático no Instagram e Facebook, com passo a passo para contratação do produto pelo App, segmentado para cooperados propensos. "/>
    <m/>
    <d v="2026-02-04T00:00:00"/>
    <d v="2026-02-17T00:00:00"/>
    <x v="16"/>
    <x v="0"/>
    <x v="0"/>
    <x v="1"/>
    <x v="1"/>
    <m/>
  </r>
  <r>
    <x v="1"/>
    <m/>
    <x v="12"/>
    <s v="CRM - desenvolvimento de jornadas para propensos"/>
    <m/>
    <d v="2026-02-05T00:00:00"/>
    <d v="2026-02-17T00:00:00"/>
    <x v="16"/>
    <x v="0"/>
    <x v="0"/>
    <x v="1"/>
    <x v="1"/>
    <m/>
  </r>
  <r>
    <x v="1"/>
    <m/>
    <x v="12"/>
    <s v="CRM - desenvolvimento de jornadas para leads e prospects"/>
    <m/>
    <d v="2026-02-05T00:00:00"/>
    <d v="2026-02-17T00:00:00"/>
    <x v="16"/>
    <x v="0"/>
    <x v="0"/>
    <x v="1"/>
    <x v="1"/>
    <m/>
  </r>
  <r>
    <x v="1"/>
    <m/>
    <x v="12"/>
    <s v="CRM - Criação de artes dos e-mails de propensos"/>
    <m/>
    <d v="2026-02-05T00:00:00"/>
    <d v="2026-02-17T00:00:00"/>
    <x v="16"/>
    <x v="0"/>
    <x v="0"/>
    <x v="1"/>
    <x v="1"/>
    <m/>
  </r>
  <r>
    <x v="1"/>
    <m/>
    <x v="12"/>
    <s v="CRM - Criação de artes dos e-mails de cooperados"/>
    <m/>
    <d v="2026-02-05T00:00:00"/>
    <d v="2026-02-17T00:00:00"/>
    <x v="16"/>
    <x v="0"/>
    <x v="0"/>
    <x v="1"/>
    <x v="1"/>
    <m/>
  </r>
  <r>
    <x v="1"/>
    <m/>
    <x v="12"/>
    <s v="Anúncio estático no Instagram e Facebook, com foco na captação de leads em formulário nativo, segmentado para público semelhante aos cooperados propensos (lookalike para não cooperados) com chamada para abertura de conta digital."/>
    <m/>
    <d v="2026-02-04T00:00:00"/>
    <d v="2026-02-17T00:00:00"/>
    <x v="16"/>
    <x v="0"/>
    <x v="0"/>
    <x v="1"/>
    <x v="1"/>
    <m/>
  </r>
  <r>
    <x v="0"/>
    <m/>
    <x v="13"/>
    <s v="Cronograma com os posts que serão publicados no mês de Fevereiro"/>
    <m/>
    <d v="2026-01-27T00:00:00"/>
    <d v="2026-02-04T00:00:00"/>
    <x v="0"/>
    <x v="0"/>
    <x v="2"/>
    <x v="1"/>
    <x v="3"/>
    <m/>
  </r>
  <r>
    <x v="0"/>
    <m/>
    <x v="14"/>
    <s v="Relatório para saber nossa evolução nas redes - mensal"/>
    <m/>
    <d v="2026-02-04T00:00:00"/>
    <d v="2026-02-12T00:00:00"/>
    <x v="5"/>
    <x v="1"/>
    <x v="2"/>
    <x v="1"/>
    <x v="1"/>
    <m/>
  </r>
  <r>
    <x v="0"/>
    <m/>
    <x v="15"/>
    <s v="Posts para o LinkedIn Endomarketing"/>
    <m/>
    <d v="2026-01-12T00:00:00"/>
    <d v="2026-02-11T00:00:00"/>
    <x v="2"/>
    <x v="1"/>
    <x v="2"/>
    <x v="1"/>
    <x v="1"/>
    <s v="Obs.: Eu solicitei 3 posts desse por mês. Ainda precisa produzir 6 artes. Depois ficam mais 3 para março."/>
  </r>
  <r>
    <x v="0"/>
    <m/>
    <x v="16"/>
    <s v="Pacote de 3 posts carrossel para dilvugação da revista"/>
    <m/>
    <d v="2026-02-05T00:00:00"/>
    <d v="2026-02-12T00:00:00"/>
    <x v="5"/>
    <x v="0"/>
    <x v="2"/>
    <x v="1"/>
    <x v="1"/>
    <s v="Obs.: Vamos enviar os textos de 3 em 3 posts."/>
  </r>
  <r>
    <x v="0"/>
    <m/>
    <x v="16"/>
    <s v="Pacote de 3 posts carrossel para dilvugação da revista"/>
    <m/>
    <d v="2026-02-12T00:00:00"/>
    <d v="2026-02-27T00:00:00"/>
    <x v="17"/>
    <x v="0"/>
    <x v="2"/>
    <x v="1"/>
    <x v="1"/>
    <s v="Obs.: Vamos enviar os textos de 3 em 3 posts."/>
  </r>
  <r>
    <x v="0"/>
    <m/>
    <x v="16"/>
    <s v="Pacote de 3 posts carrossel para dilvugação da revista"/>
    <m/>
    <d v="2026-02-27T00:00:00"/>
    <d v="2026-03-21T00:00:00"/>
    <x v="18"/>
    <x v="0"/>
    <x v="2"/>
    <x v="1"/>
    <x v="1"/>
    <s v="Obs.: Vamos enviar os textos de 3 em 3 posts."/>
  </r>
  <r>
    <x v="0"/>
    <m/>
    <x v="16"/>
    <s v="Pacote de 3 posts carrossel para dilvugação da revista"/>
    <m/>
    <d v="2026-03-21T00:00:00"/>
    <d v="2026-04-04T00:00:00"/>
    <x v="19"/>
    <x v="0"/>
    <x v="2"/>
    <x v="1"/>
    <x v="1"/>
    <s v="Obs.: Vamos enviar os textos de 3 em 3 posts."/>
  </r>
  <r>
    <x v="3"/>
    <m/>
    <x v="17"/>
    <s v="Solicitação de planejamento da campanha"/>
    <m/>
    <d v="2026-01-15T00:00:00"/>
    <d v="2026-01-26T00:00:00"/>
    <x v="0"/>
    <x v="0"/>
    <x v="2"/>
    <x v="0"/>
    <x v="0"/>
    <m/>
  </r>
  <r>
    <x v="3"/>
    <m/>
    <x v="17"/>
    <s v="Compra de Mídia"/>
    <m/>
    <d v="2026-01-15T00:00:00"/>
    <d v="2026-01-26T00:00:00"/>
    <x v="0"/>
    <x v="0"/>
    <x v="2"/>
    <x v="0"/>
    <x v="0"/>
    <m/>
  </r>
  <r>
    <x v="3"/>
    <m/>
    <x v="17"/>
    <s v="KV - Banner G1"/>
    <m/>
    <d v="2026-01-15T00:00:00"/>
    <d v="2026-01-26T00:00:00"/>
    <x v="0"/>
    <x v="0"/>
    <x v="2"/>
    <x v="0"/>
    <x v="0"/>
    <m/>
  </r>
  <r>
    <x v="3"/>
    <m/>
    <x v="17"/>
    <s v="Banner G1 - Geral BILLBOARD (970x250)​"/>
    <m/>
    <d v="2026-01-28T00:00:00"/>
    <d v="2026-02-02T00:00:00"/>
    <x v="0"/>
    <x v="0"/>
    <x v="2"/>
    <x v="0"/>
    <x v="0"/>
    <m/>
  </r>
  <r>
    <x v="3"/>
    <m/>
    <x v="17"/>
    <s v="Banner G1 - Geral MEIA PÁGINA (300 x 600) ​"/>
    <m/>
    <d v="2026-01-28T00:00:00"/>
    <d v="2026-02-02T00:00:00"/>
    <x v="0"/>
    <x v="0"/>
    <x v="2"/>
    <x v="0"/>
    <x v="0"/>
    <m/>
  </r>
  <r>
    <x v="3"/>
    <m/>
    <x v="17"/>
    <s v="Banner G1 - Geral RETÂNGULO MÉDIO (300 x 250)​"/>
    <m/>
    <d v="2026-01-28T00:00:00"/>
    <d v="2026-02-02T00:00:00"/>
    <x v="0"/>
    <x v="0"/>
    <x v="2"/>
    <x v="0"/>
    <x v="0"/>
    <m/>
  </r>
  <r>
    <x v="3"/>
    <m/>
    <x v="17"/>
    <s v="Banner G1 - NATIVE CARROSSEL (400 x 300)​"/>
    <m/>
    <d v="2026-01-28T00:00:00"/>
    <d v="2026-02-02T00:00:00"/>
    <x v="0"/>
    <x v="0"/>
    <x v="2"/>
    <x v="0"/>
    <x v="0"/>
    <m/>
  </r>
  <r>
    <x v="3"/>
    <m/>
    <x v="17"/>
    <s v="Banner G1 - NATIVE CARROSSEL (424 x 237)​"/>
    <m/>
    <d v="2026-01-28T00:00:00"/>
    <d v="2026-02-02T00:00:00"/>
    <x v="0"/>
    <x v="0"/>
    <x v="2"/>
    <x v="0"/>
    <x v="0"/>
    <m/>
  </r>
  <r>
    <x v="3"/>
    <m/>
    <x v="17"/>
    <s v="Post MS - Destaque como a 1 ª a ter um comitê de ativos - Instagram, Facebook e LinkedIn"/>
    <m/>
    <d v="2026-01-28T00:00:00"/>
    <d v="2026-02-02T00:00:00"/>
    <x v="0"/>
    <x v="0"/>
    <x v="2"/>
    <x v="0"/>
    <x v="0"/>
    <m/>
  </r>
  <r>
    <x v="3"/>
    <m/>
    <x v="17"/>
    <s v="Post MS - Carrossel sobre o Alco - Instagram, Facebook e LinkedIn"/>
    <m/>
    <d v="2026-01-28T00:00:00"/>
    <d v="2026-02-02T00:00:00"/>
    <x v="0"/>
    <x v="0"/>
    <x v="2"/>
    <x v="0"/>
    <x v="0"/>
    <m/>
  </r>
  <r>
    <x v="3"/>
    <m/>
    <x v="17"/>
    <s v="Roteiro - Vídeo sobre a solidez da Cocred - Instagram, Facebook e LinkedIn"/>
    <m/>
    <d v="2026-01-28T00:00:00"/>
    <d v="2026-02-04T00:00:00"/>
    <x v="0"/>
    <x v="0"/>
    <x v="2"/>
    <x v="1"/>
    <x v="2"/>
    <m/>
  </r>
  <r>
    <x v="3"/>
    <m/>
    <x v="17"/>
    <s v="Captação - gravação de campanha sobre a solidez da cooperativa para as mídias sociais"/>
    <m/>
    <d v="2026-01-28T00:00:00"/>
    <d v="2026-02-13T00:00:00"/>
    <x v="7"/>
    <x v="0"/>
    <x v="2"/>
    <x v="1"/>
    <x v="1"/>
    <m/>
  </r>
  <r>
    <x v="3"/>
    <m/>
    <x v="17"/>
    <s v="Post Blog - A COCRED e a inovação do ALCO: governança estratégica a serviço da solidez financeira"/>
    <m/>
    <d v="2026-01-28T00:00:00"/>
    <d v="2026-02-04T00:00:00"/>
    <x v="0"/>
    <x v="0"/>
    <x v="2"/>
    <x v="1"/>
    <x v="2"/>
    <m/>
  </r>
  <r>
    <x v="3"/>
    <m/>
    <x v="17"/>
    <s v="Post Blog - Investimento e segurança: os diferenciais de investir em uma cooperativa de crédito"/>
    <m/>
    <d v="2026-01-28T00:00:00"/>
    <d v="2026-02-16T00:00:00"/>
    <x v="20"/>
    <x v="0"/>
    <x v="2"/>
    <x v="1"/>
    <x v="1"/>
    <m/>
  </r>
  <r>
    <x v="3"/>
    <m/>
    <x v="17"/>
    <s v="Post Instagram e LinkedIn - derivação Blog - Investimento e segurança: os diferenciais de investir em uma cooperativa de crédito"/>
    <m/>
    <d v="2026-01-28T00:00:00"/>
    <d v="2026-02-20T00:00:00"/>
    <x v="4"/>
    <x v="0"/>
    <x v="2"/>
    <x v="1"/>
    <x v="1"/>
    <m/>
  </r>
  <r>
    <x v="3"/>
    <m/>
    <x v="17"/>
    <s v="Post Blog - Sustentabilidade financeira na COCRED: 56 anos construindo confiança"/>
    <m/>
    <d v="2026-01-28T00:00:00"/>
    <d v="2026-03-02T00:00:00"/>
    <x v="21"/>
    <x v="0"/>
    <x v="2"/>
    <x v="1"/>
    <x v="1"/>
    <m/>
  </r>
  <r>
    <x v="3"/>
    <m/>
    <x v="17"/>
    <s v="Post Instagram e LinkedIn - derivação Blog - Sustentabilidade financeira na COCRED: 56 anos construindo confiança"/>
    <m/>
    <d v="2026-01-28T00:00:00"/>
    <d v="2026-03-06T00:00:00"/>
    <x v="8"/>
    <x v="0"/>
    <x v="2"/>
    <x v="1"/>
    <x v="1"/>
    <m/>
  </r>
  <r>
    <x v="3"/>
    <m/>
    <x v="17"/>
    <s v="Post Blog - Cenário internacional e mercado brasileiro: como a COCRED protege o seu investimento"/>
    <m/>
    <d v="2026-01-28T00:00:00"/>
    <d v="2026-03-23T00:00:00"/>
    <x v="10"/>
    <x v="0"/>
    <x v="2"/>
    <x v="1"/>
    <x v="1"/>
    <m/>
  </r>
  <r>
    <x v="3"/>
    <m/>
    <x v="17"/>
    <s v="Post Instagram e LinkedIn - derivação Blog - Cenário internacional e mercado brasileiro: como a COCRED protege o seu investimento"/>
    <m/>
    <d v="2026-01-28T00:00:00"/>
    <d v="2026-03-26T00:00:00"/>
    <x v="22"/>
    <x v="0"/>
    <x v="2"/>
    <x v="1"/>
    <x v="1"/>
    <m/>
  </r>
  <r>
    <x v="3"/>
    <m/>
    <x v="17"/>
    <s v="Post Blog - Gestão de riscos na COCRED: como fortalecemos a segurança dos seus investimentos"/>
    <m/>
    <d v="2026-01-28T00:00:00"/>
    <d v="2026-04-06T00:00:00"/>
    <x v="23"/>
    <x v="0"/>
    <x v="2"/>
    <x v="1"/>
    <x v="1"/>
    <m/>
  </r>
  <r>
    <x v="3"/>
    <m/>
    <x v="17"/>
    <s v="Post Instagram e LinkedIn - derivação Blog - Gestão de riscos na COCRED: como fortalecemos a segurança dos seus investimentos"/>
    <m/>
    <d v="2026-01-28T00:00:00"/>
    <d v="2026-04-09T00:00:00"/>
    <x v="24"/>
    <x v="0"/>
    <x v="2"/>
    <x v="1"/>
    <x v="1"/>
    <m/>
  </r>
  <r>
    <x v="3"/>
    <m/>
    <x v="17"/>
    <s v="Post Blog - Indicadores financeiros e transparência: o que eles revelam sobre a saúde do seu Investimento"/>
    <m/>
    <d v="2026-01-28T00:00:00"/>
    <d v="2026-04-20T00:00:00"/>
    <x v="25"/>
    <x v="0"/>
    <x v="2"/>
    <x v="1"/>
    <x v="1"/>
    <m/>
  </r>
  <r>
    <x v="3"/>
    <m/>
    <x v="17"/>
    <s v="Post Instagram e LinkedIn - derivação Blog - Indicadores financeiros e transparência: o que eles revelam sobre a saúde do seu Investimento"/>
    <m/>
    <d v="2026-01-28T00:00:00"/>
    <d v="2026-04-23T00:00:00"/>
    <x v="26"/>
    <x v="0"/>
    <x v="2"/>
    <x v="1"/>
    <x v="1"/>
    <m/>
  </r>
  <r>
    <x v="3"/>
    <m/>
    <x v="17"/>
    <s v="Informe Publicitário G1"/>
    <m/>
    <d v="2026-01-28T00:00:00"/>
    <d v="2026-02-04T00:00:00"/>
    <x v="0"/>
    <x v="0"/>
    <x v="2"/>
    <x v="1"/>
    <x v="2"/>
    <m/>
  </r>
  <r>
    <x v="3"/>
    <m/>
    <x v="17"/>
    <s v="Informe Publicitário Revide"/>
    <m/>
    <d v="2026-01-28T00:00:00"/>
    <d v="2026-02-04T00:00:00"/>
    <x v="0"/>
    <x v="0"/>
    <x v="2"/>
    <x v="1"/>
    <x v="2"/>
    <m/>
  </r>
  <r>
    <x v="3"/>
    <m/>
    <x v="17"/>
    <s v="Banner - Portais Editora Globo (mesmo formato)"/>
    <m/>
    <d v="2026-01-28T00:00:00"/>
    <d v="2026-02-20T00:00:00"/>
    <x v="4"/>
    <x v="0"/>
    <x v="2"/>
    <x v="1"/>
    <x v="1"/>
    <m/>
  </r>
  <r>
    <x v="3"/>
    <m/>
    <x v="17"/>
    <s v="Banner - Portal Infomoney (mesmo formato)"/>
    <m/>
    <d v="2026-01-28T00:00:00"/>
    <d v="2026-02-20T00:00:00"/>
    <x v="4"/>
    <x v="0"/>
    <x v="2"/>
    <x v="1"/>
    <x v="1"/>
    <m/>
  </r>
  <r>
    <x v="3"/>
    <m/>
    <x v="17"/>
    <s v="Pauta CBN 1 - Roteiro de Entrevistas"/>
    <m/>
    <d v="2026-01-28T00:00:00"/>
    <d v="2026-02-20T00:00:00"/>
    <x v="4"/>
    <x v="0"/>
    <x v="2"/>
    <x v="1"/>
    <x v="1"/>
    <m/>
  </r>
  <r>
    <x v="3"/>
    <m/>
    <x v="17"/>
    <s v="Gravação - Pauta CBN 1"/>
    <m/>
    <d v="2026-01-29T00:00:00"/>
    <d v="2026-02-27T00:00:00"/>
    <x v="17"/>
    <x v="0"/>
    <x v="2"/>
    <x v="1"/>
    <x v="1"/>
    <m/>
  </r>
  <r>
    <x v="3"/>
    <m/>
    <x v="17"/>
    <s v="Pauta CBN 2 - Roteiro de Entrevistas"/>
    <m/>
    <d v="2026-01-28T00:00:00"/>
    <d v="2026-02-20T00:00:00"/>
    <x v="4"/>
    <x v="0"/>
    <x v="2"/>
    <x v="1"/>
    <x v="1"/>
    <m/>
  </r>
  <r>
    <x v="3"/>
    <m/>
    <x v="17"/>
    <s v="Gravação - Pauta CBN 2"/>
    <m/>
    <d v="2026-01-29T00:00:00"/>
    <d v="2026-02-27T00:00:00"/>
    <x v="17"/>
    <x v="0"/>
    <x v="2"/>
    <x v="1"/>
    <x v="1"/>
    <m/>
  </r>
  <r>
    <x v="3"/>
    <m/>
    <x v="17"/>
    <s v="Pauta CBN 3 - Roteiro de Entrevistas"/>
    <m/>
    <d v="2026-01-28T00:00:00"/>
    <d v="2026-02-20T00:00:00"/>
    <x v="4"/>
    <x v="0"/>
    <x v="2"/>
    <x v="1"/>
    <x v="1"/>
    <m/>
  </r>
  <r>
    <x v="3"/>
    <m/>
    <x v="17"/>
    <s v="Gravação - Pauta CBN 3"/>
    <m/>
    <d v="2026-01-29T00:00:00"/>
    <d v="2026-02-27T00:00:00"/>
    <x v="17"/>
    <x v="0"/>
    <x v="2"/>
    <x v="1"/>
    <x v="1"/>
    <m/>
  </r>
  <r>
    <x v="3"/>
    <m/>
    <x v="17"/>
    <s v="Pauta CBN 4 - Roteiro de Entrevistas"/>
    <m/>
    <d v="2026-01-28T00:00:00"/>
    <d v="2026-02-20T00:00:00"/>
    <x v="4"/>
    <x v="0"/>
    <x v="2"/>
    <x v="1"/>
    <x v="1"/>
    <m/>
  </r>
  <r>
    <x v="3"/>
    <m/>
    <x v="17"/>
    <s v="Gravação - Pauta CBN 4"/>
    <m/>
    <d v="2026-01-29T00:00:00"/>
    <d v="2026-02-27T00:00:00"/>
    <x v="17"/>
    <x v="0"/>
    <x v="2"/>
    <x v="1"/>
    <x v="1"/>
    <m/>
  </r>
  <r>
    <x v="3"/>
    <m/>
    <x v="17"/>
    <s v="Pauta Jovem Pan 1 - Roteiro de Entrevistas"/>
    <m/>
    <d v="2026-01-28T00:00:00"/>
    <d v="2026-02-20T00:00:00"/>
    <x v="4"/>
    <x v="0"/>
    <x v="2"/>
    <x v="1"/>
    <x v="1"/>
    <m/>
  </r>
  <r>
    <x v="3"/>
    <m/>
    <x v="17"/>
    <s v="Gravação - Pauta Jovem Pan 1"/>
    <m/>
    <d v="2026-01-29T00:00:00"/>
    <d v="2026-02-27T00:00:00"/>
    <x v="17"/>
    <x v="0"/>
    <x v="2"/>
    <x v="1"/>
    <x v="1"/>
    <m/>
  </r>
  <r>
    <x v="3"/>
    <m/>
    <x v="17"/>
    <s v="Pauta Jovem Pan 2 - Roteiro de Entrevistas"/>
    <m/>
    <d v="2026-01-28T00:00:00"/>
    <d v="2026-02-20T00:00:00"/>
    <x v="4"/>
    <x v="0"/>
    <x v="2"/>
    <x v="1"/>
    <x v="1"/>
    <m/>
  </r>
  <r>
    <x v="3"/>
    <m/>
    <x v="17"/>
    <s v="Gravação - Pauta Jovem Pan 2"/>
    <m/>
    <d v="2026-01-28T00:00:00"/>
    <d v="2026-02-27T00:00:00"/>
    <x v="17"/>
    <x v="0"/>
    <x v="2"/>
    <x v="1"/>
    <x v="1"/>
    <m/>
  </r>
  <r>
    <x v="3"/>
    <m/>
    <x v="17"/>
    <s v="Pauta Jovem Pan 3 - Roteiro de Entrevistas"/>
    <m/>
    <d v="2026-01-28T00:00:00"/>
    <d v="2026-02-20T00:00:00"/>
    <x v="4"/>
    <x v="0"/>
    <x v="2"/>
    <x v="1"/>
    <x v="1"/>
    <m/>
  </r>
  <r>
    <x v="3"/>
    <m/>
    <x v="17"/>
    <s v="Gravação - Pauta Jovem Pan 3"/>
    <m/>
    <d v="2026-01-28T00:00:00"/>
    <d v="2026-02-27T00:00:00"/>
    <x v="17"/>
    <x v="0"/>
    <x v="2"/>
    <x v="1"/>
    <x v="1"/>
    <m/>
  </r>
  <r>
    <x v="3"/>
    <m/>
    <x v="17"/>
    <s v="Pauta Jovem Pan 4 - Roteiro de Entrevistas"/>
    <m/>
    <d v="2026-01-28T00:00:00"/>
    <d v="2026-02-20T00:00:00"/>
    <x v="4"/>
    <x v="0"/>
    <x v="2"/>
    <x v="1"/>
    <x v="1"/>
    <m/>
  </r>
  <r>
    <x v="3"/>
    <m/>
    <x v="17"/>
    <s v="Gravação - Pauta Jovem Pan 4"/>
    <m/>
    <d v="2026-01-28T00:00:00"/>
    <d v="2026-02-27T00:00:00"/>
    <x v="17"/>
    <x v="0"/>
    <x v="2"/>
    <x v="1"/>
    <x v="1"/>
    <m/>
  </r>
  <r>
    <x v="3"/>
    <m/>
    <x v="17"/>
    <s v="Configuração de anúncio no linkedIn, com objetivo de alcance e engajamento, com o clique aqui direcionando o usuário para matéria sobre o tema no G1. Se possível, fazer esse anúncio com o vídeo da campanha. Caso contrário, utilizar post estático. "/>
    <m/>
    <d v="2026-01-28T00:00:00"/>
    <d v="2026-02-23T00:00:00"/>
    <x v="15"/>
    <x v="0"/>
    <x v="2"/>
    <x v="1"/>
    <x v="1"/>
    <m/>
  </r>
  <r>
    <x v="3"/>
    <m/>
    <x v="17"/>
    <s v="Configuração de anúncio na Meta, com objetivo de alcance e engajamento, com o clique aqui direcionando o usuário para matéria sobre o tema no G1. Fazer esse anúncio com o vídeo da campanha."/>
    <m/>
    <d v="2026-01-28T00:00:00"/>
    <d v="2026-02-23T00:00:00"/>
    <x v="15"/>
    <x v="0"/>
    <x v="2"/>
    <x v="1"/>
    <x v="1"/>
    <m/>
  </r>
  <r>
    <x v="1"/>
    <m/>
    <x v="18"/>
    <s v="Desenvolvimento do KV do evento"/>
    <m/>
    <d v="2025-12-12T00:00:00"/>
    <d v="2026-02-02T00:00:00"/>
    <x v="0"/>
    <x v="0"/>
    <x v="0"/>
    <x v="0"/>
    <x v="0"/>
    <s v="Entregue."/>
  </r>
  <r>
    <x v="1"/>
    <m/>
    <x v="18"/>
    <s v="Desenvolvimento do nome do evento"/>
    <m/>
    <d v="2025-12-12T00:00:00"/>
    <d v="2026-02-02T00:00:00"/>
    <x v="0"/>
    <x v="0"/>
    <x v="0"/>
    <x v="0"/>
    <x v="0"/>
    <s v="Entregue."/>
  </r>
  <r>
    <x v="1"/>
    <m/>
    <x v="18"/>
    <s v="Criação de convite - Whatsapp"/>
    <m/>
    <d v="2025-12-12T00:00:00"/>
    <d v="2026-02-02T00:00:00"/>
    <x v="0"/>
    <x v="2"/>
    <x v="0"/>
    <x v="2"/>
    <x v="3"/>
    <s v="Mudanças no texto."/>
  </r>
  <r>
    <x v="1"/>
    <m/>
    <x v="18"/>
    <s v="Criação de convite - E-mail"/>
    <m/>
    <d v="2025-12-12T00:00:00"/>
    <d v="2026-02-02T00:00:00"/>
    <x v="0"/>
    <x v="2"/>
    <x v="0"/>
    <x v="2"/>
    <x v="3"/>
    <s v="Mudanças no texto."/>
  </r>
  <r>
    <x v="1"/>
    <m/>
    <x v="18"/>
    <s v="Criação de convite - Impresso"/>
    <m/>
    <d v="2025-12-12T00:00:00"/>
    <d v="2026-02-02T00:00:00"/>
    <x v="0"/>
    <x v="2"/>
    <x v="0"/>
    <x v="2"/>
    <x v="3"/>
    <s v="Mudanças no texto."/>
  </r>
  <r>
    <x v="1"/>
    <m/>
    <x v="18"/>
    <s v="Criação de comunicado interno para e-mail - Avisando colaboradores do uso do auditório"/>
    <m/>
    <d v="2025-12-12T00:00:00"/>
    <d v="2026-02-02T00:00:00"/>
    <x v="0"/>
    <x v="2"/>
    <x v="0"/>
    <x v="0"/>
    <x v="0"/>
    <s v="Entregue."/>
  </r>
  <r>
    <x v="1"/>
    <m/>
    <x v="18"/>
    <s v="Criação de lembrete por e-mail: É amanhã!"/>
    <m/>
    <d v="2025-12-12T00:00:00"/>
    <d v="2026-02-02T00:00:00"/>
    <x v="0"/>
    <x v="2"/>
    <x v="0"/>
    <x v="2"/>
    <x v="3"/>
    <s v="Mudanças no texto."/>
  </r>
  <r>
    <x v="1"/>
    <m/>
    <x v="18"/>
    <s v="Sugestão de brindes"/>
    <m/>
    <d v="2025-12-12T00:00:00"/>
    <d v="2026-02-02T00:00:00"/>
    <x v="0"/>
    <x v="0"/>
    <x v="0"/>
    <x v="1"/>
    <x v="1"/>
    <s v="Aguardando entrega."/>
  </r>
  <r>
    <x v="1"/>
    <m/>
    <x v="18"/>
    <s v="Aplicação da marca em brindes"/>
    <m/>
    <d v="2025-12-12T00:00:00"/>
    <d v="2026-02-02T00:00:00"/>
    <x v="0"/>
    <x v="0"/>
    <x v="0"/>
    <x v="1"/>
    <x v="1"/>
    <s v="Aguardando entrega."/>
  </r>
  <r>
    <x v="1"/>
    <m/>
    <x v="18"/>
    <s v="Sugestão de ativação durante o evento"/>
    <m/>
    <d v="2025-12-12T00:00:00"/>
    <d v="2026-02-02T00:00:00"/>
    <x v="0"/>
    <x v="2"/>
    <x v="0"/>
    <x v="1"/>
    <x v="1"/>
    <s v="Aguardando entrega."/>
  </r>
  <r>
    <x v="1"/>
    <m/>
    <x v="18"/>
    <s v="Criação de modelo de credencial"/>
    <m/>
    <d v="2025-12-12T00:00:00"/>
    <d v="2026-02-02T00:00:00"/>
    <x v="0"/>
    <x v="2"/>
    <x v="0"/>
    <x v="0"/>
    <x v="0"/>
    <s v="Entregue."/>
  </r>
  <r>
    <x v="1"/>
    <m/>
    <x v="19"/>
    <s v="Atualização do vídeo : Institucional"/>
    <m/>
    <d v="2025-12-29T00:00:00"/>
    <d v="2026-01-25T00:00:00"/>
    <x v="0"/>
    <x v="0"/>
    <x v="0"/>
    <x v="1"/>
    <x v="3"/>
    <s v="Alterações de textos e imagens."/>
  </r>
  <r>
    <x v="1"/>
    <m/>
    <x v="19"/>
    <s v="Atualização do vídeo : Investimentos"/>
    <m/>
    <d v="2025-12-29T00:00:00"/>
    <d v="2026-01-25T00:00:00"/>
    <x v="0"/>
    <x v="0"/>
    <x v="0"/>
    <x v="1"/>
    <x v="3"/>
    <s v="Alterações de textos e imagens."/>
  </r>
  <r>
    <x v="1"/>
    <m/>
    <x v="19"/>
    <s v="Atualização do vídeo : CPRF"/>
    <m/>
    <d v="2025-12-29T00:00:00"/>
    <d v="2026-01-25T00:00:00"/>
    <x v="0"/>
    <x v="0"/>
    <x v="0"/>
    <x v="1"/>
    <x v="3"/>
    <s v="Alterações de textos e imagens."/>
  </r>
  <r>
    <x v="1"/>
    <m/>
    <x v="19"/>
    <s v="Atualização do vídeo : Open finance"/>
    <m/>
    <d v="2025-12-29T00:00:00"/>
    <d v="2026-01-25T00:00:00"/>
    <x v="0"/>
    <x v="0"/>
    <x v="0"/>
    <x v="1"/>
    <x v="3"/>
    <s v="Alterações de textos e imagens."/>
  </r>
  <r>
    <x v="1"/>
    <m/>
    <x v="19"/>
    <s v="Atualização do vídeo : Produtos e Serviços"/>
    <m/>
    <d v="2025-12-29T00:00:00"/>
    <d v="2026-01-25T00:00:00"/>
    <x v="0"/>
    <x v="0"/>
    <x v="0"/>
    <x v="1"/>
    <x v="3"/>
    <s v="Alterações de textos e imagens."/>
  </r>
  <r>
    <x v="1"/>
    <m/>
    <x v="19"/>
    <s v="Atualização do vídeo : Cheque especial"/>
    <m/>
    <d v="2025-12-29T00:00:00"/>
    <d v="2026-02-06T00:00:00"/>
    <x v="0"/>
    <x v="0"/>
    <x v="0"/>
    <x v="1"/>
    <x v="1"/>
    <s v="Aguardando entrega."/>
  </r>
  <r>
    <x v="1"/>
    <m/>
    <x v="19"/>
    <s v="Atualização do vídeo : Crédito Automático"/>
    <m/>
    <d v="2025-12-29T00:00:00"/>
    <d v="2026-02-06T00:00:00"/>
    <x v="0"/>
    <x v="0"/>
    <x v="0"/>
    <x v="1"/>
    <x v="1"/>
    <s v="Aguardando entrega."/>
  </r>
  <r>
    <x v="1"/>
    <m/>
    <x v="19"/>
    <s v="Atualização do vídeo : Consórcios"/>
    <m/>
    <d v="2025-12-29T00:00:00"/>
    <d v="2026-02-06T00:00:00"/>
    <x v="0"/>
    <x v="0"/>
    <x v="0"/>
    <x v="1"/>
    <x v="1"/>
    <s v="Aguardando entrega."/>
  </r>
  <r>
    <x v="1"/>
    <m/>
    <x v="19"/>
    <s v="Atualização do vídeo : Sipag"/>
    <m/>
    <d v="2025-12-29T00:00:00"/>
    <d v="2026-02-06T00:00:00"/>
    <x v="0"/>
    <x v="0"/>
    <x v="0"/>
    <x v="1"/>
    <x v="1"/>
    <s v="Aguardando entrega."/>
  </r>
  <r>
    <x v="1"/>
    <m/>
    <x v="19"/>
    <s v="Atualização do vídeo : Cartões"/>
    <m/>
    <d v="2025-12-29T00:00:00"/>
    <d v="2026-02-06T00:00:00"/>
    <x v="0"/>
    <x v="0"/>
    <x v="0"/>
    <x v="1"/>
    <x v="1"/>
    <s v="Aguardando entrega."/>
  </r>
  <r>
    <x v="1"/>
    <m/>
    <x v="19"/>
    <s v="Atualização do vídeo : Crédito Rural"/>
    <m/>
    <d v="2025-12-29T00:00:00"/>
    <d v="2026-02-06T00:00:00"/>
    <x v="0"/>
    <x v="0"/>
    <x v="0"/>
    <x v="1"/>
    <x v="1"/>
    <s v="Aguardando entrega."/>
  </r>
  <r>
    <x v="1"/>
    <m/>
    <x v="19"/>
    <s v="Atualização do vídeo : Abertura de conta"/>
    <m/>
    <d v="2025-12-29T00:00:00"/>
    <d v="2026-02-06T00:00:00"/>
    <x v="0"/>
    <x v="0"/>
    <x v="0"/>
    <x v="1"/>
    <x v="1"/>
    <s v="Aguardando entrega."/>
  </r>
  <r>
    <x v="1"/>
    <m/>
    <x v="20"/>
    <s v="Desenvolver nome para o evento"/>
    <m/>
    <d v="2025-11-13T00:00:00"/>
    <d v="2026-02-27T00:00:00"/>
    <x v="17"/>
    <x v="2"/>
    <x v="0"/>
    <x v="0"/>
    <x v="0"/>
    <s v="Entregue."/>
  </r>
  <r>
    <x v="1"/>
    <m/>
    <x v="20"/>
    <s v="Desenvolver KV para o evento"/>
    <m/>
    <d v="2025-11-13T00:00:00"/>
    <d v="2026-02-27T00:00:00"/>
    <x v="17"/>
    <x v="2"/>
    <x v="0"/>
    <x v="1"/>
    <x v="1"/>
    <s v="Aguardando entrega."/>
  </r>
  <r>
    <x v="1"/>
    <m/>
    <x v="20"/>
    <s v="Aplicar a marca em brindes"/>
    <m/>
    <d v="2025-11-13T00:00:00"/>
    <d v="2026-02-27T00:00:00"/>
    <x v="17"/>
    <x v="2"/>
    <x v="0"/>
    <x v="1"/>
    <x v="1"/>
    <s v="Aguardando entrega."/>
  </r>
  <r>
    <x v="1"/>
    <m/>
    <x v="20"/>
    <s v="Sugestão de brindes "/>
    <m/>
    <d v="2025-11-13T00:00:00"/>
    <d v="2026-02-27T00:00:00"/>
    <x v="17"/>
    <x v="2"/>
    <x v="0"/>
    <x v="1"/>
    <x v="1"/>
    <s v="Aguardando entrega."/>
  </r>
  <r>
    <x v="1"/>
    <m/>
    <x v="20"/>
    <s v="Revisão e melhorias no briefing inicial"/>
    <m/>
    <d v="2026-01-27T00:00:00"/>
    <d v="2026-02-23T00:00:00"/>
    <x v="15"/>
    <x v="2"/>
    <x v="0"/>
    <x v="1"/>
    <x v="1"/>
    <s v="Aguardando entrega."/>
  </r>
  <r>
    <x v="1"/>
    <m/>
    <x v="20"/>
    <s v="Desenvolver ideais para ativação no evento"/>
    <m/>
    <d v="2026-01-27T00:00:00"/>
    <d v="2026-02-23T00:00:00"/>
    <x v="15"/>
    <x v="2"/>
    <x v="0"/>
    <x v="1"/>
    <x v="1"/>
    <s v="Aguardando entrega."/>
  </r>
  <r>
    <x v="1"/>
    <m/>
    <x v="20"/>
    <s v="Desenho do fluxo de comunicação pré, durante e pós evento"/>
    <m/>
    <d v="2026-01-27T00:00:00"/>
    <d v="2026-02-23T00:00:00"/>
    <x v="15"/>
    <x v="2"/>
    <x v="0"/>
    <x v="1"/>
    <x v="1"/>
    <s v="Aguardando entrega."/>
  </r>
  <r>
    <x v="1"/>
    <m/>
    <x v="21"/>
    <s v="Desenvolver KV para o evento"/>
    <m/>
    <d v="2025-12-10T00:00:00"/>
    <d v="2026-02-23T00:00:00"/>
    <x v="15"/>
    <x v="2"/>
    <x v="0"/>
    <x v="0"/>
    <x v="3"/>
    <s v="Aguardando entrega."/>
  </r>
  <r>
    <x v="1"/>
    <m/>
    <x v="21"/>
    <s v="Peças conceito para o digital: Redes Sociais"/>
    <m/>
    <d v="2025-12-10T00:00:00"/>
    <d v="2026-02-23T00:00:00"/>
    <x v="15"/>
    <x v="2"/>
    <x v="0"/>
    <x v="1"/>
    <x v="1"/>
    <s v="Aguardando entrega."/>
  </r>
  <r>
    <x v="1"/>
    <m/>
    <x v="21"/>
    <s v="Peças conceito para o digital: LP"/>
    <m/>
    <d v="2025-12-10T00:00:00"/>
    <d v="2026-02-23T00:00:00"/>
    <x v="15"/>
    <x v="2"/>
    <x v="0"/>
    <x v="1"/>
    <x v="1"/>
    <s v="Aguardando entrega."/>
  </r>
  <r>
    <x v="1"/>
    <m/>
    <x v="21"/>
    <s v="Peças conceito para o digital: Pushs"/>
    <m/>
    <d v="2025-12-10T00:00:00"/>
    <d v="2026-02-23T00:00:00"/>
    <x v="15"/>
    <x v="2"/>
    <x v="0"/>
    <x v="1"/>
    <x v="1"/>
    <s v="Aguardando entrega."/>
  </r>
  <r>
    <x v="1"/>
    <m/>
    <x v="21"/>
    <s v="Peças conceito para impresso: Cartazes"/>
    <m/>
    <d v="2025-12-10T00:00:00"/>
    <d v="2026-02-23T00:00:00"/>
    <x v="15"/>
    <x v="2"/>
    <x v="0"/>
    <x v="1"/>
    <x v="1"/>
    <s v="Aguardando entrega."/>
  </r>
  <r>
    <x v="1"/>
    <m/>
    <x v="21"/>
    <s v="Aplicação da Marca em brindes"/>
    <m/>
    <d v="2025-12-10T00:00:00"/>
    <d v="2026-02-23T00:00:00"/>
    <x v="15"/>
    <x v="2"/>
    <x v="0"/>
    <x v="1"/>
    <x v="1"/>
    <s v="Aguardando entrega."/>
  </r>
  <r>
    <x v="1"/>
    <m/>
    <x v="22"/>
    <s v="Criação de e-mails para jornada de onboarding"/>
    <m/>
    <d v="2025-12-29T00:00:00"/>
    <d v="2026-02-10T00:00:00"/>
    <x v="0"/>
    <x v="0"/>
    <x v="0"/>
    <x v="1"/>
    <x v="1"/>
    <s v="Aguardando entrega."/>
  </r>
  <r>
    <x v="1"/>
    <m/>
    <x v="22"/>
    <s v="Criação de e-mails para jornada de leads"/>
    <m/>
    <d v="2025-12-29T00:00:00"/>
    <d v="2026-02-10T00:00:00"/>
    <x v="0"/>
    <x v="0"/>
    <x v="0"/>
    <x v="1"/>
    <x v="1"/>
    <s v="Aguardando entrega."/>
  </r>
  <r>
    <x v="1"/>
    <m/>
    <x v="22"/>
    <s v="Criação de e-mails para jornada de aniversariantes"/>
    <m/>
    <d v="2025-12-29T00:00:00"/>
    <d v="2026-02-10T00:00:00"/>
    <x v="0"/>
    <x v="0"/>
    <x v="0"/>
    <x v="1"/>
    <x v="1"/>
    <s v="Aguardando entrega."/>
  </r>
  <r>
    <x v="1"/>
    <m/>
    <x v="22"/>
    <s v="Criação de e-mails para jornada de Reativação"/>
    <m/>
    <d v="2025-12-29T00:00:00"/>
    <d v="2026-02-10T00:00:00"/>
    <x v="0"/>
    <x v="0"/>
    <x v="0"/>
    <x v="1"/>
    <x v="1"/>
    <s v="Aguardando entrega."/>
  </r>
  <r>
    <x v="1"/>
    <m/>
    <x v="23"/>
    <s v="Seleção dos posts mais engajados de 2025 para reutilização em Dark post 2026 - Crédito pessoal;"/>
    <m/>
    <d v="2025-02-03T00:00:00"/>
    <d v="2026-02-06T00:00:00"/>
    <x v="0"/>
    <x v="0"/>
    <x v="0"/>
    <x v="0"/>
    <x v="1"/>
    <s v="Aguardando entrega."/>
  </r>
  <r>
    <x v="1"/>
    <m/>
    <x v="23"/>
    <s v="Seleção dos posts mais engajados de 2025 para reutilização em Dark post 2026 - Crédito rural;"/>
    <m/>
    <d v="2025-02-03T00:00:00"/>
    <d v="2026-02-06T00:00:00"/>
    <x v="0"/>
    <x v="0"/>
    <x v="0"/>
    <x v="0"/>
    <x v="1"/>
    <s v="Aguardando entrega."/>
  </r>
  <r>
    <x v="1"/>
    <m/>
    <x v="23"/>
    <s v="Seleção dos posts mais engajados de 2025 para reutilização em Dark post 2026 - Crédito PJ;"/>
    <m/>
    <d v="2025-02-03T00:00:00"/>
    <d v="2026-02-06T00:00:00"/>
    <x v="0"/>
    <x v="0"/>
    <x v="0"/>
    <x v="0"/>
    <x v="1"/>
    <s v="Aguardando entrega."/>
  </r>
  <r>
    <x v="1"/>
    <m/>
    <x v="23"/>
    <s v="Seleção dos posts mais engajados de 2025 para reutilização em Dark post 2026 - Investimentos;"/>
    <m/>
    <d v="2025-02-03T00:00:00"/>
    <d v="2026-02-06T00:00:00"/>
    <x v="0"/>
    <x v="0"/>
    <x v="0"/>
    <x v="0"/>
    <x v="1"/>
    <s v="Aguardando entrega."/>
  </r>
  <r>
    <x v="1"/>
    <m/>
    <x v="23"/>
    <s v="Seleção dos posts mais engajados de 2025 para reutilização em Dark post 2026 - Cartões;"/>
    <m/>
    <d v="2025-02-03T00:00:00"/>
    <d v="2026-02-06T00:00:00"/>
    <x v="0"/>
    <x v="0"/>
    <x v="0"/>
    <x v="0"/>
    <x v="1"/>
    <s v="Aguardando entrega."/>
  </r>
  <r>
    <x v="1"/>
    <m/>
    <x v="23"/>
    <s v="Seleção dos posts mais engajados de 2025 para reutilização em Dark post 2026 - Sipag;"/>
    <m/>
    <d v="2025-02-03T00:00:00"/>
    <d v="2026-02-06T00:00:00"/>
    <x v="0"/>
    <x v="0"/>
    <x v="0"/>
    <x v="0"/>
    <x v="1"/>
    <s v="Aguardando entrega."/>
  </r>
  <r>
    <x v="1"/>
    <m/>
    <x v="23"/>
    <s v="Seleção dos posts mais engajados de 2025 para reutilização em Dark post 2026 - Seguros;"/>
    <m/>
    <d v="2025-02-03T00:00:00"/>
    <d v="2026-02-06T00:00:00"/>
    <x v="0"/>
    <x v="0"/>
    <x v="0"/>
    <x v="0"/>
    <x v="1"/>
    <s v="Aguardando entrega."/>
  </r>
  <r>
    <x v="1"/>
    <m/>
    <x v="23"/>
    <s v="Seleção dos posts mais engajados de 2025 para reutilização em Dark post 2026 - Consórcios;"/>
    <m/>
    <d v="2025-02-03T00:00:00"/>
    <d v="2026-02-06T00:00:00"/>
    <x v="0"/>
    <x v="0"/>
    <x v="0"/>
    <x v="0"/>
    <x v="1"/>
    <s v="Aguardando entrega."/>
  </r>
  <r>
    <x v="1"/>
    <m/>
    <x v="24"/>
    <s v="Plano de mídia - Desenvolvimento, orçamento e sugestões "/>
    <m/>
    <d v="2026-01-13T00:00:00"/>
    <d v="2026-01-26T00:00:00"/>
    <x v="0"/>
    <x v="0"/>
    <x v="0"/>
    <x v="1"/>
    <x v="1"/>
    <s v="Aguardando entrega."/>
  </r>
  <r>
    <x v="1"/>
    <m/>
    <x v="25"/>
    <s v="Plano de mídia - Desenvolvimento, orçamento e sugestões "/>
    <m/>
    <d v="2026-01-13T00:00:00"/>
    <d v="2026-01-26T00:00:00"/>
    <x v="0"/>
    <x v="0"/>
    <x v="0"/>
    <x v="1"/>
    <x v="1"/>
    <s v="Aguardando entrega."/>
  </r>
  <r>
    <x v="1"/>
    <m/>
    <x v="26"/>
    <s v="Plano de mídia - Desenvolvimento, orçamento e sugestões "/>
    <m/>
    <d v="2026-01-13T00:00:00"/>
    <d v="2026-03-02T00:00:00"/>
    <x v="21"/>
    <x v="2"/>
    <x v="0"/>
    <x v="1"/>
    <x v="1"/>
    <s v="Aguardando entrega."/>
  </r>
  <r>
    <x v="1"/>
    <m/>
    <x v="27"/>
    <s v="Plano de mídia - Desenvolvimento, orçamento e sugestões "/>
    <m/>
    <d v="2026-01-13T00:00:00"/>
    <d v="2026-04-01T00:00:00"/>
    <x v="13"/>
    <x v="2"/>
    <x v="0"/>
    <x v="1"/>
    <x v="1"/>
    <s v="Aguardando entrega."/>
  </r>
  <r>
    <x v="1"/>
    <m/>
    <x v="28"/>
    <s v="Plano de mídia - Desenvolvimento, orçamento e sugestões "/>
    <m/>
    <d v="2026-01-13T00:00:00"/>
    <d v="2026-04-15T00:00:00"/>
    <x v="27"/>
    <x v="2"/>
    <x v="0"/>
    <x v="1"/>
    <x v="1"/>
    <s v="Aguardando entrega."/>
  </r>
  <r>
    <x v="1"/>
    <m/>
    <x v="29"/>
    <s v="Revisão e melhorias no briefing inicial"/>
    <m/>
    <d v="2026-01-27T00:00:00"/>
    <d v="2026-01-30T00:00:00"/>
    <x v="0"/>
    <x v="0"/>
    <x v="0"/>
    <x v="1"/>
    <x v="1"/>
    <s v="Aguardando entrega."/>
  </r>
  <r>
    <x v="1"/>
    <m/>
    <x v="29"/>
    <s v="Desenvolver ideais para ativação no evento"/>
    <m/>
    <d v="2026-01-27T00:00:00"/>
    <d v="2026-01-30T00:00:00"/>
    <x v="0"/>
    <x v="0"/>
    <x v="0"/>
    <x v="1"/>
    <x v="1"/>
    <s v="Aguardando entrega."/>
  </r>
  <r>
    <x v="1"/>
    <m/>
    <x v="29"/>
    <s v="Desenvolver ideias de brindes"/>
    <m/>
    <d v="2026-01-27T00:00:00"/>
    <d v="2026-01-30T00:00:00"/>
    <x v="0"/>
    <x v="0"/>
    <x v="0"/>
    <x v="1"/>
    <x v="1"/>
    <s v="Aguardando entrega."/>
  </r>
  <r>
    <x v="1"/>
    <m/>
    <x v="29"/>
    <s v="Desenvolver KV do evento"/>
    <m/>
    <d v="2026-01-27T00:00:00"/>
    <d v="2026-01-30T00:00:00"/>
    <x v="0"/>
    <x v="0"/>
    <x v="0"/>
    <x v="1"/>
    <x v="1"/>
    <s v="Aguardando entrega."/>
  </r>
  <r>
    <x v="1"/>
    <m/>
    <x v="29"/>
    <s v="Desenho do fluxo de comunicação pré, durante e pós evento"/>
    <m/>
    <d v="2026-01-27T00:00:00"/>
    <d v="2026-01-30T00:00:00"/>
    <x v="0"/>
    <x v="0"/>
    <x v="0"/>
    <x v="1"/>
    <x v="1"/>
    <s v="Aguardando entrega."/>
  </r>
  <r>
    <x v="1"/>
    <m/>
    <x v="30"/>
    <s v="Revisão e melhorias no briefing inicial"/>
    <m/>
    <d v="2026-01-28T00:00:00"/>
    <d v="2026-02-06T00:00:00"/>
    <x v="0"/>
    <x v="0"/>
    <x v="0"/>
    <x v="1"/>
    <x v="1"/>
    <s v="Aguardando entrega."/>
  </r>
  <r>
    <x v="1"/>
    <m/>
    <x v="30"/>
    <s v="Desenvolver ideais para ativação no evento"/>
    <m/>
    <d v="2026-01-28T00:00:00"/>
    <d v="2026-02-06T00:00:00"/>
    <x v="0"/>
    <x v="0"/>
    <x v="0"/>
    <x v="1"/>
    <x v="1"/>
    <s v="Aguardando entrega."/>
  </r>
  <r>
    <x v="1"/>
    <m/>
    <x v="30"/>
    <s v="Desenvolver ideias de brindes"/>
    <m/>
    <d v="2026-01-28T00:00:00"/>
    <d v="2026-02-06T00:00:00"/>
    <x v="0"/>
    <x v="0"/>
    <x v="0"/>
    <x v="1"/>
    <x v="1"/>
    <s v="Aguardando entrega."/>
  </r>
  <r>
    <x v="1"/>
    <m/>
    <x v="30"/>
    <s v="Desenvolver KV do evento"/>
    <m/>
    <d v="2026-01-28T00:00:00"/>
    <d v="2026-02-06T00:00:00"/>
    <x v="0"/>
    <x v="0"/>
    <x v="0"/>
    <x v="1"/>
    <x v="1"/>
    <s v="Aguardando entrega."/>
  </r>
  <r>
    <x v="1"/>
    <m/>
    <x v="30"/>
    <s v="Desenho do fluxo de comunicação pré, durante e pós evento"/>
    <m/>
    <d v="2026-01-28T00:00:00"/>
    <d v="2026-02-06T00:00:00"/>
    <x v="0"/>
    <x v="0"/>
    <x v="0"/>
    <x v="1"/>
    <x v="1"/>
    <s v="Aguardando entrega."/>
  </r>
  <r>
    <x v="1"/>
    <m/>
    <x v="31"/>
    <s v="Produção de roteiro do vídeo da campanha e aprovação com a equipe de Marketing"/>
    <m/>
    <d v="2026-01-01T00:00:00"/>
    <d v="2026-01-28T00:00:00"/>
    <x v="0"/>
    <x v="0"/>
    <x v="0"/>
    <x v="0"/>
    <x v="0"/>
    <m/>
  </r>
  <r>
    <x v="1"/>
    <m/>
    <x v="31"/>
    <s v="Produção de roteiro do spot da campanha e aprovação com a equipe de Marketing"/>
    <m/>
    <d v="2026-01-01T00:00:00"/>
    <d v="2026-01-28T00:00:00"/>
    <x v="0"/>
    <x v="0"/>
    <x v="0"/>
    <x v="0"/>
    <x v="0"/>
    <m/>
  </r>
  <r>
    <x v="1"/>
    <m/>
    <x v="31"/>
    <s v="Contratação de produtora audiovisual para execução da campanha"/>
    <m/>
    <d v="2026-01-01T00:00:00"/>
    <d v="2026-01-28T00:00:00"/>
    <x v="0"/>
    <x v="0"/>
    <x v="0"/>
    <x v="0"/>
    <x v="0"/>
    <m/>
  </r>
  <r>
    <x v="1"/>
    <m/>
    <x v="31"/>
    <s v="Captação e gravação dos materiais audiovisuais da campanha"/>
    <m/>
    <d v="2026-01-01T00:00:00"/>
    <d v="2026-02-12T00:00:00"/>
    <x v="5"/>
    <x v="0"/>
    <x v="0"/>
    <x v="1"/>
    <x v="1"/>
    <m/>
  </r>
  <r>
    <x v="1"/>
    <m/>
    <x v="31"/>
    <s v="Entrega de vídeo comercial do produto no formato horizontal"/>
    <m/>
    <d v="2026-01-01T00:00:00"/>
    <d v="2026-02-17T00:00:00"/>
    <x v="16"/>
    <x v="0"/>
    <x v="0"/>
    <x v="1"/>
    <x v="1"/>
    <m/>
  </r>
  <r>
    <x v="1"/>
    <m/>
    <x v="31"/>
    <s v="Entrega de vídeo comercial do produto no formato vertical"/>
    <m/>
    <d v="2026-01-01T00:00:00"/>
    <d v="2026-02-17T00:00:00"/>
    <x v="16"/>
    <x v="0"/>
    <x v="0"/>
    <x v="1"/>
    <x v="1"/>
    <m/>
  </r>
  <r>
    <x v="1"/>
    <m/>
    <x v="31"/>
    <s v="Produção de spot de áudio de 30 segundos"/>
    <m/>
    <d v="2026-01-01T00:00:00"/>
    <d v="2026-02-17T00:00:00"/>
    <x v="16"/>
    <x v="0"/>
    <x v="0"/>
    <x v="1"/>
    <x v="1"/>
    <m/>
  </r>
  <r>
    <x v="1"/>
    <m/>
    <x v="31"/>
    <s v="Elaboração do plano de mídia da campanha"/>
    <m/>
    <d v="2026-01-01T00:00:00"/>
    <d v="2026-02-10T00:00:00"/>
    <x v="0"/>
    <x v="0"/>
    <x v="0"/>
    <x v="1"/>
    <x v="1"/>
    <m/>
  </r>
  <r>
    <x v="1"/>
    <m/>
    <x v="31"/>
    <s v="Execução e compra de mídia conforme plano aprovado"/>
    <m/>
    <d v="2026-01-01T00:00:00"/>
    <d v="2026-02-17T00:00:00"/>
    <x v="16"/>
    <x v="0"/>
    <x v="0"/>
    <x v="1"/>
    <x v="1"/>
    <m/>
  </r>
  <r>
    <x v="1"/>
    <m/>
    <x v="31"/>
    <s v="Criação de KV - e-mail marketing para leads propensos ao produto (início de jornada - conta digital)"/>
    <m/>
    <d v="2026-02-04T00:00:00"/>
    <d v="2026-02-17T00:00:00"/>
    <x v="16"/>
    <x v="0"/>
    <x v="0"/>
    <x v="1"/>
    <x v="1"/>
    <m/>
  </r>
  <r>
    <x v="1"/>
    <m/>
    <x v="31"/>
    <s v="Criação de e-mail marketing para usuários de produtos do Sicoob que ainda não são cooperados, como os poupadores, por exemplo. "/>
    <m/>
    <d v="2026-02-04T00:00:00"/>
    <d v="2026-02-17T00:00:00"/>
    <x v="16"/>
    <x v="0"/>
    <x v="0"/>
    <x v="1"/>
    <x v="1"/>
    <m/>
  </r>
  <r>
    <x v="1"/>
    <m/>
    <x v="31"/>
    <s v="Criação de outdoor da campanha"/>
    <m/>
    <d v="2026-01-01T00:00:00"/>
    <d v="2026-02-17T00:00:00"/>
    <x v="16"/>
    <x v="0"/>
    <x v="0"/>
    <x v="1"/>
    <x v="1"/>
    <m/>
  </r>
  <r>
    <x v="1"/>
    <m/>
    <x v="31"/>
    <s v="Criação de capa para vídeo no YouTube"/>
    <m/>
    <d v="2026-02-04T00:00:00"/>
    <d v="2026-02-17T00:00:00"/>
    <x v="16"/>
    <x v="0"/>
    <x v="0"/>
    <x v="1"/>
    <x v="1"/>
    <m/>
  </r>
  <r>
    <x v="1"/>
    <m/>
    <x v="31"/>
    <s v="Criação de capa para vídeo no Reels"/>
    <m/>
    <d v="2026-02-04T00:00:00"/>
    <d v="2026-02-17T00:00:00"/>
    <x v="16"/>
    <x v="0"/>
    <x v="0"/>
    <x v="1"/>
    <x v="1"/>
    <m/>
  </r>
  <r>
    <x v="1"/>
    <m/>
    <x v="31"/>
    <s v="Criação de banner para o site – versão desktop (1920x854)"/>
    <m/>
    <d v="2026-02-04T00:00:00"/>
    <d v="2026-02-17T00:00:00"/>
    <x v="16"/>
    <x v="0"/>
    <x v="0"/>
    <x v="1"/>
    <x v="1"/>
    <m/>
  </r>
  <r>
    <x v="1"/>
    <m/>
    <x v="31"/>
    <s v="Criação de banner para o site – versão mobile (768x940)"/>
    <m/>
    <d v="2026-02-04T00:00:00"/>
    <d v="2026-02-17T00:00:00"/>
    <x v="16"/>
    <x v="0"/>
    <x v="0"/>
    <x v="1"/>
    <x v="1"/>
    <m/>
  </r>
  <r>
    <x v="1"/>
    <m/>
    <x v="31"/>
    <s v="Criação de banner para o site – versão mobile (643x278)"/>
    <m/>
    <d v="2026-02-04T00:00:00"/>
    <d v="2026-02-17T00:00:00"/>
    <x v="16"/>
    <x v="0"/>
    <x v="0"/>
    <x v="1"/>
    <x v="1"/>
    <m/>
  </r>
  <r>
    <x v="1"/>
    <m/>
    <x v="31"/>
    <s v="Criação de banner para o site – versão mobile (453x580)"/>
    <m/>
    <d v="2026-02-04T00:00:00"/>
    <d v="2026-02-17T00:00:00"/>
    <x v="16"/>
    <x v="0"/>
    <x v="0"/>
    <x v="1"/>
    <x v="1"/>
    <m/>
  </r>
  <r>
    <x v="1"/>
    <m/>
    <x v="31"/>
    <s v="Criação de material para painel de LED em São José do Rio Preto"/>
    <m/>
    <d v="2026-02-04T00:00:00"/>
    <d v="2026-02-17T00:00:00"/>
    <x v="16"/>
    <x v="0"/>
    <x v="0"/>
    <x v="1"/>
    <x v="1"/>
    <m/>
  </r>
  <r>
    <x v="1"/>
    <m/>
    <x v="31"/>
    <s v="Criação de material para painel de LED em Marília"/>
    <m/>
    <d v="2026-02-04T00:00:00"/>
    <d v="2026-02-17T00:00:00"/>
    <x v="16"/>
    <x v="0"/>
    <x v="0"/>
    <x v="1"/>
    <x v="1"/>
    <m/>
  </r>
  <r>
    <x v="1"/>
    <m/>
    <x v="31"/>
    <s v="Planejamento de conteúdo nas mídias sociais com derivações da campanha "/>
    <m/>
    <d v="2026-02-04T00:00:00"/>
    <d v="2026-02-13T00:00:00"/>
    <x v="7"/>
    <x v="0"/>
    <x v="0"/>
    <x v="1"/>
    <x v="1"/>
    <m/>
  </r>
  <r>
    <x v="1"/>
    <m/>
    <x v="31"/>
    <s v="Post para blog institucional (produção interna)"/>
    <m/>
    <d v="2026-02-04T00:00:00"/>
    <d v="2026-02-17T00:00:00"/>
    <x v="16"/>
    <x v="0"/>
    <x v="1"/>
    <x v="1"/>
    <x v="1"/>
    <m/>
  </r>
  <r>
    <x v="1"/>
    <m/>
    <x v="31"/>
    <s v="Criação de LP do Produto na RD Station"/>
    <m/>
    <d v="2026-02-04T00:00:00"/>
    <d v="2026-02-17T00:00:00"/>
    <x v="16"/>
    <x v="0"/>
    <x v="0"/>
    <x v="1"/>
    <x v="1"/>
    <m/>
  </r>
  <r>
    <x v="1"/>
    <m/>
    <x v="31"/>
    <s v="Configuração de anúncio no Google e YouTube, direcionando usuários para a LP do produto na RD Station, segmentado para pessoas com interesse no produto (não cooperados), com chamada para abertura de conta digital. "/>
    <m/>
    <d v="2026-02-04T00:00:00"/>
    <d v="2026-02-17T00:00:00"/>
    <x v="16"/>
    <x v="0"/>
    <x v="0"/>
    <x v="1"/>
    <x v="1"/>
    <m/>
  </r>
  <r>
    <x v="1"/>
    <m/>
    <x v="31"/>
    <s v="Anúncio em vídeo no Instagram e Facebook, com botão Clique aqui, direcionando o usuário para a LP do produto (RD Station), segmentado para usuários de produtos do Sicoob que ainda não são cooperados, como os poupadores, por exemplo. "/>
    <m/>
    <d v="2026-02-04T00:00:00"/>
    <d v="2026-02-17T00:00:00"/>
    <x v="16"/>
    <x v="0"/>
    <x v="0"/>
    <x v="1"/>
    <x v="1"/>
    <m/>
  </r>
  <r>
    <x v="1"/>
    <m/>
    <x v="31"/>
    <s v="Anúncio em vídeo no Instagram e Facebook, com botão Clique aqui, direcionando o usuário para a LP do produto (RD Station), segmentado para interessados (não cooperados), por meio de configuração manual, com chamada para abertura de conta digital. "/>
    <m/>
    <d v="2026-02-04T00:00:00"/>
    <d v="2026-02-17T00:00:00"/>
    <x v="16"/>
    <x v="0"/>
    <x v="0"/>
    <x v="1"/>
    <x v="1"/>
    <m/>
  </r>
  <r>
    <x v="1"/>
    <m/>
    <x v="31"/>
    <s v="Anúncio estático no Instagram e Facebook, com foco na captação de leads em formulário nativo, segmentado para pessoas interessadas no produto (não cooperados), por meio de configuração manual, com chamada para abertura de conta digital. "/>
    <m/>
    <d v="2026-02-04T00:00:00"/>
    <d v="2026-02-17T00:00:00"/>
    <x v="16"/>
    <x v="0"/>
    <x v="0"/>
    <x v="1"/>
    <x v="1"/>
    <m/>
  </r>
  <r>
    <x v="1"/>
    <m/>
    <x v="31"/>
    <s v="Anúncio estático no Instagram e Facebook, com passo a passo para contratação do produto pelo App, segmentado para usuários de produtos do Sicoob que ainda não são cooperados, como os poupadores, por exemplo. "/>
    <m/>
    <d v="2026-02-04T00:00:00"/>
    <d v="2026-02-17T00:00:00"/>
    <x v="16"/>
    <x v="0"/>
    <x v="0"/>
    <x v="1"/>
    <x v="1"/>
    <m/>
  </r>
  <r>
    <x v="1"/>
    <m/>
    <x v="32"/>
    <s v="Produção de roteiro do vídeo da campanha e aprovação com a equipe de Marketing"/>
    <m/>
    <d v="2026-01-01T00:00:00"/>
    <d v="2026-01-28T00:00:00"/>
    <x v="0"/>
    <x v="0"/>
    <x v="0"/>
    <x v="0"/>
    <x v="0"/>
    <m/>
  </r>
  <r>
    <x v="1"/>
    <m/>
    <x v="32"/>
    <s v="Produção de roteiro do spot da campanha e aprovação com a equipe de Marketing"/>
    <m/>
    <d v="2026-02-06T00:00:00"/>
    <d v="2026-02-16T00:00:00"/>
    <x v="20"/>
    <x v="1"/>
    <x v="0"/>
    <x v="1"/>
    <x v="1"/>
    <m/>
  </r>
  <r>
    <x v="1"/>
    <m/>
    <x v="32"/>
    <s v="Contratação de produtora audiovisual para execução da campanha"/>
    <m/>
    <d v="2026-02-06T00:00:00"/>
    <d v="2026-02-16T00:00:00"/>
    <x v="20"/>
    <x v="1"/>
    <x v="0"/>
    <x v="1"/>
    <x v="1"/>
    <m/>
  </r>
  <r>
    <x v="1"/>
    <m/>
    <x v="32"/>
    <s v="Captação e gravação dos materiais audiovisuais da campanha"/>
    <m/>
    <d v="2026-02-06T00:00:00"/>
    <d v="2026-02-16T00:00:00"/>
    <x v="20"/>
    <x v="1"/>
    <x v="0"/>
    <x v="1"/>
    <x v="1"/>
    <m/>
  </r>
  <r>
    <x v="1"/>
    <m/>
    <x v="32"/>
    <s v="Entrega de vídeo comercial do produto no formato horizontal"/>
    <m/>
    <d v="2026-02-06T00:00:00"/>
    <d v="2026-02-16T00:00:00"/>
    <x v="20"/>
    <x v="1"/>
    <x v="0"/>
    <x v="1"/>
    <x v="1"/>
    <m/>
  </r>
  <r>
    <x v="1"/>
    <m/>
    <x v="32"/>
    <s v="Entrega de vídeo comercial do produto no formato vertical"/>
    <m/>
    <d v="2026-02-06T00:00:00"/>
    <d v="2026-02-16T00:00:00"/>
    <x v="20"/>
    <x v="1"/>
    <x v="0"/>
    <x v="1"/>
    <x v="1"/>
    <m/>
  </r>
  <r>
    <x v="1"/>
    <m/>
    <x v="32"/>
    <s v="Produção de spot de áudio de 30 segundos"/>
    <m/>
    <d v="2026-02-06T00:00:00"/>
    <d v="2026-02-16T00:00:00"/>
    <x v="20"/>
    <x v="1"/>
    <x v="0"/>
    <x v="1"/>
    <x v="1"/>
    <m/>
  </r>
  <r>
    <x v="1"/>
    <m/>
    <x v="32"/>
    <s v="Elaboração do plano de mídia da campanha"/>
    <m/>
    <d v="2026-02-06T00:00:00"/>
    <d v="2026-02-16T00:00:00"/>
    <x v="20"/>
    <x v="1"/>
    <x v="0"/>
    <x v="1"/>
    <x v="1"/>
    <m/>
  </r>
  <r>
    <x v="1"/>
    <m/>
    <x v="32"/>
    <s v="Execução e compra de mídia conforme plano aprovado"/>
    <m/>
    <d v="2026-02-06T00:00:00"/>
    <d v="2026-02-16T00:00:00"/>
    <x v="20"/>
    <x v="1"/>
    <x v="0"/>
    <x v="1"/>
    <x v="1"/>
    <m/>
  </r>
  <r>
    <x v="1"/>
    <m/>
    <x v="32"/>
    <s v="Criação de KV - card de WhatsApp para apoio comercial dos gerentes"/>
    <m/>
    <d v="2026-02-06T00:00:00"/>
    <d v="2026-02-16T00:00:00"/>
    <x v="20"/>
    <x v="1"/>
    <x v="0"/>
    <x v="1"/>
    <x v="1"/>
    <m/>
  </r>
  <r>
    <x v="1"/>
    <m/>
    <x v="32"/>
    <s v="Criação de e-mail marketing para cooperados propensos ao produto (início de jornada - conta digital)"/>
    <m/>
    <d v="2026-02-06T00:00:00"/>
    <d v="2026-02-16T00:00:00"/>
    <x v="20"/>
    <x v="1"/>
    <x v="0"/>
    <x v="1"/>
    <x v="1"/>
    <m/>
  </r>
  <r>
    <x v="1"/>
    <m/>
    <x v="32"/>
    <s v="Criação de e-mail marketing para leads propensos ao produto (início de jornada - conta digital)"/>
    <m/>
    <d v="2026-02-06T00:00:00"/>
    <d v="2026-02-16T00:00:00"/>
    <x v="20"/>
    <x v="1"/>
    <x v="0"/>
    <x v="1"/>
    <x v="1"/>
    <m/>
  </r>
  <r>
    <x v="1"/>
    <m/>
    <x v="32"/>
    <s v="Criação de outdoor da campanha"/>
    <m/>
    <d v="2026-02-06T00:00:00"/>
    <d v="2026-02-16T00:00:00"/>
    <x v="20"/>
    <x v="1"/>
    <x v="0"/>
    <x v="1"/>
    <x v="1"/>
    <m/>
  </r>
  <r>
    <x v="1"/>
    <m/>
    <x v="32"/>
    <s v="Criação de capa para vídeo no YouTube"/>
    <m/>
    <d v="2026-02-06T00:00:00"/>
    <d v="2026-02-16T00:00:00"/>
    <x v="20"/>
    <x v="1"/>
    <x v="0"/>
    <x v="1"/>
    <x v="1"/>
    <m/>
  </r>
  <r>
    <x v="1"/>
    <m/>
    <x v="32"/>
    <s v="Criação de capa para vídeo no Reels"/>
    <m/>
    <d v="2026-02-06T00:00:00"/>
    <d v="2026-02-16T00:00:00"/>
    <x v="20"/>
    <x v="1"/>
    <x v="0"/>
    <x v="1"/>
    <x v="1"/>
    <m/>
  </r>
  <r>
    <x v="1"/>
    <m/>
    <x v="32"/>
    <s v="Criação de banner para o site – versão desktop (1920x854)"/>
    <m/>
    <d v="2026-02-06T00:00:00"/>
    <d v="2026-02-16T00:00:00"/>
    <x v="20"/>
    <x v="1"/>
    <x v="0"/>
    <x v="1"/>
    <x v="1"/>
    <m/>
  </r>
  <r>
    <x v="1"/>
    <m/>
    <x v="32"/>
    <s v="Criação de banner para o site – versão mobile (768x940)"/>
    <m/>
    <d v="2026-02-06T00:00:00"/>
    <d v="2026-02-16T00:00:00"/>
    <x v="20"/>
    <x v="1"/>
    <x v="0"/>
    <x v="1"/>
    <x v="1"/>
    <m/>
  </r>
  <r>
    <x v="1"/>
    <m/>
    <x v="32"/>
    <s v="Criação de banner para o site – versão mobile (643x278)"/>
    <m/>
    <d v="2026-02-06T00:00:00"/>
    <d v="2026-02-16T00:00:00"/>
    <x v="20"/>
    <x v="1"/>
    <x v="0"/>
    <x v="1"/>
    <x v="1"/>
    <m/>
  </r>
  <r>
    <x v="1"/>
    <m/>
    <x v="32"/>
    <s v="Criação de banner para o site – versão mobile (453x580)"/>
    <m/>
    <d v="2026-02-06T00:00:00"/>
    <d v="2026-02-16T00:00:00"/>
    <x v="20"/>
    <x v="1"/>
    <x v="0"/>
    <x v="1"/>
    <x v="1"/>
    <m/>
  </r>
  <r>
    <x v="1"/>
    <m/>
    <x v="32"/>
    <s v="Criação de banner para a intranet com nova dimensão - (1008 px de largura x 553 px de altura)"/>
    <m/>
    <d v="2026-02-06T00:00:00"/>
    <d v="2026-02-16T00:00:00"/>
    <x v="20"/>
    <x v="1"/>
    <x v="0"/>
    <x v="1"/>
    <x v="1"/>
    <m/>
  </r>
  <r>
    <x v="1"/>
    <m/>
    <x v="32"/>
    <s v="Criação de cartaz no formato A2"/>
    <m/>
    <d v="2026-02-06T00:00:00"/>
    <d v="2026-02-16T00:00:00"/>
    <x v="20"/>
    <x v="1"/>
    <x v="0"/>
    <x v="1"/>
    <x v="1"/>
    <m/>
  </r>
  <r>
    <x v="1"/>
    <m/>
    <x v="32"/>
    <s v="Desenvolvimento de conteúdo para TV interna dos PAs (1920x1080)"/>
    <m/>
    <d v="2026-02-06T00:00:00"/>
    <d v="2026-02-16T00:00:00"/>
    <x v="20"/>
    <x v="1"/>
    <x v="0"/>
    <x v="1"/>
    <x v="1"/>
    <m/>
  </r>
  <r>
    <x v="1"/>
    <m/>
    <x v="32"/>
    <s v="Criação de material para painel de LED em São José do Rio Preto"/>
    <m/>
    <d v="2026-02-06T00:00:00"/>
    <d v="2026-02-16T00:00:00"/>
    <x v="20"/>
    <x v="1"/>
    <x v="0"/>
    <x v="1"/>
    <x v="1"/>
    <m/>
  </r>
  <r>
    <x v="1"/>
    <m/>
    <x v="32"/>
    <s v="Criação de material para painel de LED em Marília"/>
    <m/>
    <d v="2026-02-06T00:00:00"/>
    <d v="2026-02-16T00:00:00"/>
    <x v="20"/>
    <x v="1"/>
    <x v="0"/>
    <x v="1"/>
    <x v="1"/>
    <m/>
  </r>
  <r>
    <x v="1"/>
    <m/>
    <x v="32"/>
    <s v="Planejamento de conteúdo nas mídias sociais com derivações da campanha "/>
    <m/>
    <d v="2026-02-06T00:00:00"/>
    <d v="2026-02-16T00:00:00"/>
    <x v="20"/>
    <x v="1"/>
    <x v="0"/>
    <x v="1"/>
    <x v="1"/>
    <m/>
  </r>
  <r>
    <x v="1"/>
    <m/>
    <x v="32"/>
    <s v="Post para blog institucional (produção interna)"/>
    <m/>
    <d v="2026-02-06T00:00:00"/>
    <d v="2026-02-16T00:00:00"/>
    <x v="20"/>
    <x v="1"/>
    <x v="1"/>
    <x v="1"/>
    <x v="1"/>
    <m/>
  </r>
  <r>
    <x v="1"/>
    <m/>
    <x v="32"/>
    <s v="Criação de LP do Produto na RD Station"/>
    <m/>
    <d v="2026-02-06T00:00:00"/>
    <d v="2026-02-16T00:00:00"/>
    <x v="20"/>
    <x v="1"/>
    <x v="0"/>
    <x v="1"/>
    <x v="1"/>
    <m/>
  </r>
  <r>
    <x v="1"/>
    <m/>
    <x v="32"/>
    <s v="Configuração de anúncio no Google e YouTube, direcionando usuários para a LP do produto na RD Station, segmentado para pessoas com interesse no produto (não cooperados), com chamada para abertura de conta digital. "/>
    <m/>
    <d v="2026-02-06T00:00:00"/>
    <d v="2026-02-16T00:00:00"/>
    <x v="20"/>
    <x v="1"/>
    <x v="0"/>
    <x v="1"/>
    <x v="1"/>
    <m/>
  </r>
  <r>
    <x v="1"/>
    <m/>
    <x v="32"/>
    <s v="Anúncio em vídeo no Instagram e Facebook, com botão Clique aqui, direcionando o usuário para a LP do produto (RD Station), segmentado para interessados (não cooperados) com chamada para abertura de conta digital. "/>
    <m/>
    <d v="2026-02-06T00:00:00"/>
    <d v="2026-02-16T00:00:00"/>
    <x v="20"/>
    <x v="1"/>
    <x v="0"/>
    <x v="1"/>
    <x v="1"/>
    <m/>
  </r>
  <r>
    <x v="1"/>
    <m/>
    <x v="32"/>
    <s v="Anúncio estático no Instagram e Facebook, com foco na captação de leads em formulário nativo, segmentado para pessoas interessadas no produto (não cooperados), por meio de configuração manual, com chamada para abertura de conta digital. "/>
    <m/>
    <d v="2026-02-06T00:00:00"/>
    <d v="2026-02-16T00:00:00"/>
    <x v="20"/>
    <x v="1"/>
    <x v="0"/>
    <x v="1"/>
    <x v="1"/>
    <m/>
  </r>
  <r>
    <x v="1"/>
    <m/>
    <x v="32"/>
    <s v="Anúncio estático no Instagram e Facebook, com passo a passo para contratação do produto pelo App, segmentado para cooperados propensos. "/>
    <m/>
    <d v="2026-02-06T00:00:00"/>
    <d v="2026-02-16T00:00:00"/>
    <x v="20"/>
    <x v="1"/>
    <x v="0"/>
    <x v="1"/>
    <x v="1"/>
    <m/>
  </r>
  <r>
    <x v="1"/>
    <m/>
    <x v="32"/>
    <s v="CRM - desenvolvimento de jornadas para propensos"/>
    <m/>
    <d v="2026-02-06T00:00:00"/>
    <d v="2026-02-16T00:00:00"/>
    <x v="20"/>
    <x v="1"/>
    <x v="0"/>
    <x v="1"/>
    <x v="1"/>
    <m/>
  </r>
  <r>
    <x v="1"/>
    <m/>
    <x v="32"/>
    <s v="CRM - desenvolvimento de jornadas para leads e prospects"/>
    <m/>
    <d v="2026-02-06T00:00:00"/>
    <d v="2026-02-16T00:00:00"/>
    <x v="20"/>
    <x v="1"/>
    <x v="0"/>
    <x v="1"/>
    <x v="1"/>
    <m/>
  </r>
  <r>
    <x v="1"/>
    <m/>
    <x v="32"/>
    <s v="CRM - Criação de artes dos e-mails de propensos"/>
    <m/>
    <d v="2026-02-06T00:00:00"/>
    <d v="2026-02-16T00:00:00"/>
    <x v="20"/>
    <x v="1"/>
    <x v="0"/>
    <x v="1"/>
    <x v="1"/>
    <m/>
  </r>
  <r>
    <x v="1"/>
    <m/>
    <x v="32"/>
    <s v="CRM - Criação de artes dos e-mails de cooperados"/>
    <m/>
    <d v="2026-02-06T00:00:00"/>
    <d v="2026-02-16T00:00:00"/>
    <x v="20"/>
    <x v="1"/>
    <x v="0"/>
    <x v="1"/>
    <x v="1"/>
    <m/>
  </r>
  <r>
    <x v="1"/>
    <m/>
    <x v="32"/>
    <s v="Anúncio estático no Instagram e Facebook, com foco na captação de leads em formulário nativo, segmentado para público semelhante aos cooperados propensos (lookalike para não cooperados) com chamada para abertura de conta digital."/>
    <m/>
    <d v="2026-02-06T00:00:00"/>
    <d v="2026-02-16T00:00:00"/>
    <x v="20"/>
    <x v="1"/>
    <x v="0"/>
    <x v="1"/>
    <x v="1"/>
    <m/>
  </r>
  <r>
    <x v="1"/>
    <m/>
    <x v="33"/>
    <s v="Produção de roteiro do vídeo da campanha e aprovação com a equipe de Marketing"/>
    <m/>
    <d v="2026-01-01T00:00:00"/>
    <d v="2026-01-28T00:00:00"/>
    <x v="0"/>
    <x v="0"/>
    <x v="0"/>
    <x v="0"/>
    <x v="0"/>
    <m/>
  </r>
  <r>
    <x v="1"/>
    <m/>
    <x v="33"/>
    <s v="Produção de roteiro do spot da campanha e aprovação com a equipe de Marketing"/>
    <m/>
    <d v="2026-02-06T00:00:00"/>
    <d v="2026-02-16T00:00:00"/>
    <x v="20"/>
    <x v="1"/>
    <x v="0"/>
    <x v="1"/>
    <x v="1"/>
    <m/>
  </r>
  <r>
    <x v="1"/>
    <m/>
    <x v="33"/>
    <s v="Contratação de produtora audiovisual para execução da campanha"/>
    <m/>
    <d v="2026-02-06T00:00:00"/>
    <d v="2026-02-16T00:00:00"/>
    <x v="20"/>
    <x v="1"/>
    <x v="0"/>
    <x v="1"/>
    <x v="1"/>
    <m/>
  </r>
  <r>
    <x v="1"/>
    <m/>
    <x v="33"/>
    <s v="Captação e gravação dos materiais audiovisuais da campanha"/>
    <m/>
    <d v="2026-02-06T00:00:00"/>
    <d v="2026-02-16T00:00:00"/>
    <x v="20"/>
    <x v="1"/>
    <x v="0"/>
    <x v="1"/>
    <x v="1"/>
    <m/>
  </r>
  <r>
    <x v="1"/>
    <m/>
    <x v="33"/>
    <s v="Entrega de vídeo comercial do produto no formato horizontal"/>
    <m/>
    <d v="2026-02-06T00:00:00"/>
    <d v="2026-02-16T00:00:00"/>
    <x v="20"/>
    <x v="1"/>
    <x v="0"/>
    <x v="1"/>
    <x v="1"/>
    <m/>
  </r>
  <r>
    <x v="1"/>
    <m/>
    <x v="33"/>
    <s v="Entrega de vídeo comercial do produto no formato vertical"/>
    <m/>
    <d v="2026-02-06T00:00:00"/>
    <d v="2026-02-16T00:00:00"/>
    <x v="20"/>
    <x v="1"/>
    <x v="0"/>
    <x v="1"/>
    <x v="1"/>
    <m/>
  </r>
  <r>
    <x v="1"/>
    <m/>
    <x v="33"/>
    <s v="Produção de spot de áudio de 30 segundos"/>
    <m/>
    <d v="2026-02-06T00:00:00"/>
    <d v="2026-02-16T00:00:00"/>
    <x v="20"/>
    <x v="1"/>
    <x v="0"/>
    <x v="1"/>
    <x v="1"/>
    <m/>
  </r>
  <r>
    <x v="1"/>
    <m/>
    <x v="33"/>
    <s v="Elaboração do plano de mídia da campanha"/>
    <m/>
    <d v="2026-02-06T00:00:00"/>
    <d v="2026-02-16T00:00:00"/>
    <x v="20"/>
    <x v="1"/>
    <x v="0"/>
    <x v="1"/>
    <x v="1"/>
    <m/>
  </r>
  <r>
    <x v="1"/>
    <m/>
    <x v="33"/>
    <s v="Execução e compra de mídia conforme plano aprovado"/>
    <m/>
    <d v="2026-02-06T00:00:00"/>
    <d v="2026-02-16T00:00:00"/>
    <x v="20"/>
    <x v="1"/>
    <x v="0"/>
    <x v="1"/>
    <x v="1"/>
    <m/>
  </r>
  <r>
    <x v="1"/>
    <m/>
    <x v="33"/>
    <s v="Criação de KV - card de WhatsApp para apoio comercial dos gerentes"/>
    <m/>
    <d v="2026-02-06T00:00:00"/>
    <d v="2026-02-16T00:00:00"/>
    <x v="20"/>
    <x v="1"/>
    <x v="0"/>
    <x v="1"/>
    <x v="1"/>
    <m/>
  </r>
  <r>
    <x v="1"/>
    <m/>
    <x v="33"/>
    <s v="Criação de e-mail marketing para cooperados propensos ao produto (início de jornada - conta digital)"/>
    <m/>
    <d v="2026-02-06T00:00:00"/>
    <d v="2026-02-16T00:00:00"/>
    <x v="20"/>
    <x v="1"/>
    <x v="0"/>
    <x v="1"/>
    <x v="1"/>
    <m/>
  </r>
  <r>
    <x v="1"/>
    <m/>
    <x v="33"/>
    <s v="Criação de e-mail marketing para leads propensos ao produto (início de jornada - conta digital)"/>
    <m/>
    <d v="2026-02-06T00:00:00"/>
    <d v="2026-02-16T00:00:00"/>
    <x v="20"/>
    <x v="1"/>
    <x v="0"/>
    <x v="1"/>
    <x v="1"/>
    <m/>
  </r>
  <r>
    <x v="1"/>
    <m/>
    <x v="33"/>
    <s v="Criação de outdoor da campanha"/>
    <m/>
    <d v="2026-02-06T00:00:00"/>
    <d v="2026-02-16T00:00:00"/>
    <x v="20"/>
    <x v="1"/>
    <x v="0"/>
    <x v="1"/>
    <x v="1"/>
    <m/>
  </r>
  <r>
    <x v="1"/>
    <m/>
    <x v="33"/>
    <s v="Criação de capa para vídeo no YouTube"/>
    <m/>
    <d v="2026-02-06T00:00:00"/>
    <d v="2026-02-16T00:00:00"/>
    <x v="20"/>
    <x v="1"/>
    <x v="0"/>
    <x v="1"/>
    <x v="1"/>
    <m/>
  </r>
  <r>
    <x v="1"/>
    <m/>
    <x v="33"/>
    <s v="Criação de capa para vídeo no Reels"/>
    <m/>
    <d v="2026-02-06T00:00:00"/>
    <d v="2026-02-16T00:00:00"/>
    <x v="20"/>
    <x v="1"/>
    <x v="0"/>
    <x v="1"/>
    <x v="1"/>
    <m/>
  </r>
  <r>
    <x v="1"/>
    <m/>
    <x v="33"/>
    <s v="Criação de banner para o site – versão desktop (1920x854)"/>
    <m/>
    <d v="2026-02-06T00:00:00"/>
    <d v="2026-02-16T00:00:00"/>
    <x v="20"/>
    <x v="1"/>
    <x v="0"/>
    <x v="1"/>
    <x v="1"/>
    <m/>
  </r>
  <r>
    <x v="1"/>
    <m/>
    <x v="33"/>
    <s v="Criação de banner para o site – versão mobile (768x940)"/>
    <m/>
    <d v="2026-02-06T00:00:00"/>
    <d v="2026-02-16T00:00:00"/>
    <x v="20"/>
    <x v="1"/>
    <x v="0"/>
    <x v="1"/>
    <x v="1"/>
    <m/>
  </r>
  <r>
    <x v="1"/>
    <m/>
    <x v="33"/>
    <s v="Criação de banner para o site – versão mobile (643x278)"/>
    <m/>
    <d v="2026-02-06T00:00:00"/>
    <d v="2026-02-16T00:00:00"/>
    <x v="20"/>
    <x v="1"/>
    <x v="0"/>
    <x v="1"/>
    <x v="1"/>
    <m/>
  </r>
  <r>
    <x v="1"/>
    <m/>
    <x v="33"/>
    <s v="Criação de banner para o site – versão mobile (453x580)"/>
    <m/>
    <d v="2026-02-06T00:00:00"/>
    <d v="2026-02-16T00:00:00"/>
    <x v="20"/>
    <x v="1"/>
    <x v="0"/>
    <x v="1"/>
    <x v="1"/>
    <m/>
  </r>
  <r>
    <x v="1"/>
    <m/>
    <x v="33"/>
    <s v="Criação de banner para a intranet com nova dimensão - (1008 px de largura x 553 px de altura)"/>
    <m/>
    <d v="2026-02-06T00:00:00"/>
    <d v="2026-02-16T00:00:00"/>
    <x v="20"/>
    <x v="1"/>
    <x v="0"/>
    <x v="1"/>
    <x v="1"/>
    <m/>
  </r>
  <r>
    <x v="1"/>
    <m/>
    <x v="33"/>
    <s v="Criação de cartaz no formato A2"/>
    <m/>
    <d v="2026-02-06T00:00:00"/>
    <d v="2026-02-16T00:00:00"/>
    <x v="20"/>
    <x v="1"/>
    <x v="0"/>
    <x v="1"/>
    <x v="1"/>
    <m/>
  </r>
  <r>
    <x v="1"/>
    <m/>
    <x v="33"/>
    <s v="Desenvolvimento de conteúdo para TV interna dos PAs (1920x1080)"/>
    <m/>
    <d v="2026-02-06T00:00:00"/>
    <d v="2026-02-16T00:00:00"/>
    <x v="20"/>
    <x v="1"/>
    <x v="0"/>
    <x v="1"/>
    <x v="1"/>
    <m/>
  </r>
  <r>
    <x v="1"/>
    <m/>
    <x v="33"/>
    <s v="Criação de material para painel de LED em São José do Rio Preto"/>
    <m/>
    <d v="2026-02-06T00:00:00"/>
    <d v="2026-02-16T00:00:00"/>
    <x v="20"/>
    <x v="1"/>
    <x v="0"/>
    <x v="1"/>
    <x v="1"/>
    <m/>
  </r>
  <r>
    <x v="1"/>
    <m/>
    <x v="33"/>
    <s v="Criação de material para painel de LED em Marília"/>
    <m/>
    <d v="2026-02-06T00:00:00"/>
    <d v="2026-02-16T00:00:00"/>
    <x v="20"/>
    <x v="1"/>
    <x v="0"/>
    <x v="1"/>
    <x v="1"/>
    <m/>
  </r>
  <r>
    <x v="1"/>
    <m/>
    <x v="33"/>
    <s v="Planejamento de conteúdo nas mídias sociais com derivações da campanha "/>
    <m/>
    <d v="2026-02-06T00:00:00"/>
    <d v="2026-02-16T00:00:00"/>
    <x v="20"/>
    <x v="1"/>
    <x v="0"/>
    <x v="1"/>
    <x v="1"/>
    <m/>
  </r>
  <r>
    <x v="1"/>
    <m/>
    <x v="33"/>
    <s v="Post para blog institucional (produção interna)"/>
    <m/>
    <d v="2026-02-06T00:00:00"/>
    <d v="2026-02-16T00:00:00"/>
    <x v="20"/>
    <x v="1"/>
    <x v="1"/>
    <x v="1"/>
    <x v="1"/>
    <m/>
  </r>
  <r>
    <x v="1"/>
    <m/>
    <x v="33"/>
    <s v="Criação de LP do Produto na RD Station"/>
    <m/>
    <d v="2026-02-06T00:00:00"/>
    <d v="2026-02-16T00:00:00"/>
    <x v="20"/>
    <x v="1"/>
    <x v="0"/>
    <x v="1"/>
    <x v="1"/>
    <m/>
  </r>
  <r>
    <x v="1"/>
    <m/>
    <x v="33"/>
    <s v="Configuração de anúncio no Google e YouTube, direcionando usuários para a LP do produto na RD Station, segmentado para pessoas com interesse no produto (não cooperados), com chamada para abertura de conta digital. "/>
    <m/>
    <d v="2026-02-06T00:00:00"/>
    <d v="2026-02-16T00:00:00"/>
    <x v="20"/>
    <x v="1"/>
    <x v="0"/>
    <x v="1"/>
    <x v="1"/>
    <m/>
  </r>
  <r>
    <x v="1"/>
    <m/>
    <x v="33"/>
    <s v="Anúncio em vídeo no Instagram e Facebook, com botão Clique aqui, direcionando o usuário para a LP do produto (RD Station), segmentado para interessados (não cooperados) com chamada para abertura de conta digital. "/>
    <m/>
    <d v="2026-02-06T00:00:00"/>
    <d v="2026-02-16T00:00:00"/>
    <x v="20"/>
    <x v="1"/>
    <x v="0"/>
    <x v="1"/>
    <x v="1"/>
    <m/>
  </r>
  <r>
    <x v="1"/>
    <m/>
    <x v="33"/>
    <s v="Anúncio estático no Instagram e Facebook, com foco na captação de leads em formulário nativo, segmentado para pessoas interessadas no produto (não cooperados), por meio de configuração manual, com chamada para abertura de conta digital. "/>
    <m/>
    <d v="2026-02-06T00:00:00"/>
    <d v="2026-02-16T00:00:00"/>
    <x v="20"/>
    <x v="1"/>
    <x v="0"/>
    <x v="1"/>
    <x v="1"/>
    <m/>
  </r>
  <r>
    <x v="1"/>
    <m/>
    <x v="33"/>
    <s v="Anúncio estático no Instagram e Facebook, com passo a passo para contratação do produto pelo App, segmentado para cooperados propensos. "/>
    <m/>
    <d v="2026-02-06T00:00:00"/>
    <d v="2026-02-16T00:00:00"/>
    <x v="20"/>
    <x v="1"/>
    <x v="0"/>
    <x v="1"/>
    <x v="1"/>
    <m/>
  </r>
  <r>
    <x v="1"/>
    <m/>
    <x v="33"/>
    <s v="CRM - desenvolvimento de jornadas para propensos"/>
    <m/>
    <d v="2026-02-06T00:00:00"/>
    <d v="2026-02-16T00:00:00"/>
    <x v="20"/>
    <x v="1"/>
    <x v="0"/>
    <x v="1"/>
    <x v="1"/>
    <m/>
  </r>
  <r>
    <x v="1"/>
    <m/>
    <x v="33"/>
    <s v="CRM - desenvolvimento de jornadas para leads e prospects"/>
    <m/>
    <d v="2026-02-06T00:00:00"/>
    <d v="2026-02-16T00:00:00"/>
    <x v="20"/>
    <x v="1"/>
    <x v="0"/>
    <x v="1"/>
    <x v="1"/>
    <m/>
  </r>
  <r>
    <x v="1"/>
    <m/>
    <x v="33"/>
    <s v="CRM - Criação de artes dos e-mails de propensos"/>
    <m/>
    <d v="2026-02-06T00:00:00"/>
    <d v="2026-02-16T00:00:00"/>
    <x v="20"/>
    <x v="1"/>
    <x v="0"/>
    <x v="1"/>
    <x v="1"/>
    <m/>
  </r>
  <r>
    <x v="1"/>
    <m/>
    <x v="33"/>
    <s v="CRM - Criação de artes dos e-mails de cooperados"/>
    <m/>
    <d v="2026-02-06T00:00:00"/>
    <d v="2026-02-16T00:00:00"/>
    <x v="20"/>
    <x v="1"/>
    <x v="0"/>
    <x v="1"/>
    <x v="1"/>
    <m/>
  </r>
  <r>
    <x v="1"/>
    <m/>
    <x v="33"/>
    <s v="Anúncio estático no Instagram e Facebook, com foco na captação de leads em formulário nativo, segmentado para público semelhante aos cooperados propensos (lookalike para não cooperados) com chamada para abertura de conta digital."/>
    <m/>
    <d v="2026-02-06T00:00:00"/>
    <d v="2026-02-16T00:00:00"/>
    <x v="20"/>
    <x v="1"/>
    <x v="0"/>
    <x v="1"/>
    <x v="1"/>
    <m/>
  </r>
  <r>
    <x v="4"/>
    <m/>
    <x v="34"/>
    <s v="KV"/>
    <m/>
    <d v="2026-02-05T00:00:00"/>
    <d v="2026-02-11T00:00:00"/>
    <x v="2"/>
    <x v="0"/>
    <x v="0"/>
    <x v="1"/>
    <x v="1"/>
    <m/>
  </r>
  <r>
    <x v="4"/>
    <m/>
    <x v="34"/>
    <s v="KV"/>
    <m/>
    <d v="2026-02-05T00:00:00"/>
    <d v="2026-02-11T00:00:00"/>
    <x v="2"/>
    <x v="0"/>
    <x v="0"/>
    <x v="1"/>
    <x v="1"/>
    <m/>
  </r>
  <r>
    <x v="4"/>
    <m/>
    <x v="35"/>
    <s v="KV"/>
    <m/>
    <d v="2026-02-05T00:00:00"/>
    <d v="2026-02-27T00:00:00"/>
    <x v="17"/>
    <x v="1"/>
    <x v="0"/>
    <x v="1"/>
    <x v="1"/>
    <m/>
  </r>
  <r>
    <x v="4"/>
    <m/>
    <x v="35"/>
    <s v="KV"/>
    <m/>
    <d v="2026-02-05T00:00:00"/>
    <d v="2026-02-27T00:00:00"/>
    <x v="17"/>
    <x v="1"/>
    <x v="0"/>
    <x v="1"/>
    <x v="1"/>
    <m/>
  </r>
  <r>
    <x v="4"/>
    <m/>
    <x v="36"/>
    <s v="Logo"/>
    <m/>
    <d v="2026-02-05T00:00:00"/>
    <d v="2026-02-27T00:00:00"/>
    <x v="17"/>
    <x v="1"/>
    <x v="0"/>
    <x v="1"/>
    <x v="1"/>
    <m/>
  </r>
  <r>
    <x v="4"/>
    <m/>
    <x v="36"/>
    <s v="Logo"/>
    <m/>
    <d v="2026-02-05T00:00:00"/>
    <d v="2026-02-27T00:00:00"/>
    <x v="17"/>
    <x v="1"/>
    <x v="0"/>
    <x v="1"/>
    <x v="1"/>
    <m/>
  </r>
  <r>
    <x v="4"/>
    <m/>
    <x v="36"/>
    <s v="KV"/>
    <m/>
    <d v="2026-02-05T00:00:00"/>
    <d v="2026-02-27T00:00:00"/>
    <x v="17"/>
    <x v="1"/>
    <x v="0"/>
    <x v="1"/>
    <x v="1"/>
    <m/>
  </r>
  <r>
    <x v="4"/>
    <m/>
    <x v="36"/>
    <s v="KV"/>
    <m/>
    <d v="2026-02-05T00:00:00"/>
    <d v="2026-02-27T00:00:00"/>
    <x v="17"/>
    <x v="1"/>
    <x v="0"/>
    <x v="1"/>
    <x v="1"/>
    <m/>
  </r>
  <r>
    <x v="4"/>
    <m/>
    <x v="37"/>
    <s v="Logo"/>
    <m/>
    <d v="2026-02-06T00:00:00"/>
    <d v="2026-02-27T00:00:00"/>
    <x v="17"/>
    <x v="1"/>
    <x v="0"/>
    <x v="1"/>
    <x v="1"/>
    <m/>
  </r>
  <r>
    <x v="4"/>
    <m/>
    <x v="37"/>
    <s v="Logo"/>
    <m/>
    <d v="2026-02-06T00:00:00"/>
    <d v="2026-02-27T00:00:00"/>
    <x v="17"/>
    <x v="1"/>
    <x v="0"/>
    <x v="1"/>
    <x v="1"/>
    <m/>
  </r>
  <r>
    <x v="4"/>
    <m/>
    <x v="37"/>
    <s v="Logo"/>
    <m/>
    <d v="2026-02-06T00:00:00"/>
    <d v="2026-02-27T00:00:00"/>
    <x v="17"/>
    <x v="1"/>
    <x v="0"/>
    <x v="1"/>
    <x v="1"/>
    <m/>
  </r>
  <r>
    <x v="4"/>
    <m/>
    <x v="37"/>
    <s v="Logo"/>
    <m/>
    <d v="2026-02-06T00:00:00"/>
    <d v="2026-02-27T00:00:00"/>
    <x v="17"/>
    <x v="1"/>
    <x v="0"/>
    <x v="1"/>
    <x v="1"/>
    <m/>
  </r>
  <r>
    <x v="4"/>
    <m/>
    <x v="38"/>
    <s v="KV"/>
    <m/>
    <d v="2026-02-06T00:00:00"/>
    <d v="2026-02-27T00:00:00"/>
    <x v="17"/>
    <x v="1"/>
    <x v="0"/>
    <x v="1"/>
    <x v="1"/>
    <m/>
  </r>
  <r>
    <x v="4"/>
    <m/>
    <x v="38"/>
    <s v="KV"/>
    <m/>
    <d v="2026-02-06T00:00:00"/>
    <d v="2026-02-27T00:00:00"/>
    <x v="17"/>
    <x v="1"/>
    <x v="0"/>
    <x v="1"/>
    <x v="1"/>
    <m/>
  </r>
  <r>
    <x v="4"/>
    <m/>
    <x v="39"/>
    <s v="Logo"/>
    <m/>
    <d v="2026-02-02T00:00:00"/>
    <d v="2026-02-13T00:00:00"/>
    <x v="7"/>
    <x v="1"/>
    <x v="0"/>
    <x v="1"/>
    <x v="1"/>
    <m/>
  </r>
  <r>
    <x v="4"/>
    <m/>
    <x v="39"/>
    <s v="Logo"/>
    <m/>
    <d v="2026-02-02T00:00:00"/>
    <d v="2026-02-13T00:00:00"/>
    <x v="7"/>
    <x v="1"/>
    <x v="0"/>
    <x v="1"/>
    <x v="1"/>
    <m/>
  </r>
  <r>
    <x v="4"/>
    <m/>
    <x v="39"/>
    <s v="KV"/>
    <m/>
    <d v="2026-02-02T00:00:00"/>
    <d v="2026-02-13T00:00:00"/>
    <x v="7"/>
    <x v="1"/>
    <x v="0"/>
    <x v="1"/>
    <x v="1"/>
    <m/>
  </r>
  <r>
    <x v="4"/>
    <m/>
    <x v="39"/>
    <s v="KV"/>
    <m/>
    <d v="2026-02-02T00:00:00"/>
    <d v="2026-02-13T00:00:00"/>
    <x v="7"/>
    <x v="1"/>
    <x v="0"/>
    <x v="1"/>
    <x v="1"/>
    <m/>
  </r>
  <r>
    <x v="4"/>
    <m/>
    <x v="40"/>
    <s v="Email 1 bolsa de estudos"/>
    <m/>
    <d v="2026-01-07T00:00:00"/>
    <d v="2026-02-13T00:00:00"/>
    <x v="7"/>
    <x v="1"/>
    <x v="0"/>
    <x v="0"/>
    <x v="0"/>
    <m/>
  </r>
  <r>
    <x v="4"/>
    <m/>
    <x v="40"/>
    <s v="Email 2 bolsa de estudos"/>
    <m/>
    <d v="2026-01-07T00:00:00"/>
    <d v="2026-02-13T00:00:00"/>
    <x v="7"/>
    <x v="1"/>
    <x v="0"/>
    <x v="0"/>
    <x v="0"/>
    <m/>
  </r>
  <r>
    <x v="4"/>
    <m/>
    <x v="40"/>
    <s v="Email 3 bolsa de estudos"/>
    <m/>
    <d v="2026-01-07T00:00:00"/>
    <d v="2026-02-13T00:00:00"/>
    <x v="7"/>
    <x v="1"/>
    <x v="0"/>
    <x v="0"/>
    <x v="0"/>
    <m/>
  </r>
  <r>
    <x v="4"/>
    <m/>
    <x v="40"/>
    <s v="Carta welcome kit"/>
    <m/>
    <d v="2026-01-07T00:00:00"/>
    <d v="2026-02-13T00:00:00"/>
    <x v="7"/>
    <x v="1"/>
    <x v="0"/>
    <x v="0"/>
    <x v="0"/>
    <m/>
  </r>
  <r>
    <x v="4"/>
    <m/>
    <x v="40"/>
    <s v="Carta auxilio enxoval"/>
    <m/>
    <d v="2026-01-07T00:00:00"/>
    <d v="2026-02-13T00:00:00"/>
    <x v="7"/>
    <x v="1"/>
    <x v="0"/>
    <x v="0"/>
    <x v="0"/>
    <m/>
  </r>
  <r>
    <x v="4"/>
    <m/>
    <x v="40"/>
    <s v="Envelope auxílio enxoval"/>
    <m/>
    <d v="2026-01-07T00:00:00"/>
    <d v="2026-02-13T00:00:00"/>
    <x v="7"/>
    <x v="1"/>
    <x v="0"/>
    <x v="0"/>
    <x v="0"/>
    <m/>
  </r>
  <r>
    <x v="4"/>
    <m/>
    <x v="40"/>
    <s v="E-mail 1 promoção cargo e salários"/>
    <m/>
    <d v="2026-01-07T00:00:00"/>
    <d v="2026-02-13T00:00:00"/>
    <x v="7"/>
    <x v="1"/>
    <x v="0"/>
    <x v="1"/>
    <x v="1"/>
    <m/>
  </r>
  <r>
    <x v="4"/>
    <m/>
    <x v="40"/>
    <s v="E-mail 2 promoção cargo e salários"/>
    <m/>
    <d v="2026-01-07T00:00:00"/>
    <d v="2026-02-13T00:00:00"/>
    <x v="7"/>
    <x v="1"/>
    <x v="0"/>
    <x v="1"/>
    <x v="1"/>
    <m/>
  </r>
  <r>
    <x v="4"/>
    <m/>
    <x v="40"/>
    <s v="E-mail 3 promoção cargo e salários"/>
    <m/>
    <d v="2026-01-07T00:00:00"/>
    <d v="2026-02-13T00:00:00"/>
    <x v="7"/>
    <x v="1"/>
    <x v="0"/>
    <x v="1"/>
    <x v="1"/>
    <m/>
  </r>
  <r>
    <x v="4"/>
    <m/>
    <x v="40"/>
    <s v="E-mail 4 promoção cargo e salários"/>
    <m/>
    <d v="2026-01-07T00:00:00"/>
    <d v="2026-02-13T00:00:00"/>
    <x v="7"/>
    <x v="1"/>
    <x v="0"/>
    <x v="1"/>
    <x v="1"/>
    <m/>
  </r>
  <r>
    <x v="4"/>
    <m/>
    <x v="40"/>
    <s v="Mérito 1"/>
    <m/>
    <d v="2026-01-07T00:00:00"/>
    <d v="2026-02-13T00:00:00"/>
    <x v="7"/>
    <x v="1"/>
    <x v="0"/>
    <x v="1"/>
    <x v="1"/>
    <m/>
  </r>
  <r>
    <x v="4"/>
    <m/>
    <x v="40"/>
    <s v="Mérito 2"/>
    <m/>
    <d v="2026-01-07T00:00:00"/>
    <d v="2026-02-13T00:00:00"/>
    <x v="7"/>
    <x v="1"/>
    <x v="0"/>
    <x v="1"/>
    <x v="1"/>
    <m/>
  </r>
  <r>
    <x v="4"/>
    <m/>
    <x v="40"/>
    <s v="Manual boas práticas em reunião"/>
    <m/>
    <d v="2026-01-07T00:00:00"/>
    <d v="2026-02-13T00:00:00"/>
    <x v="7"/>
    <x v="1"/>
    <x v="0"/>
    <x v="1"/>
    <x v="1"/>
    <m/>
  </r>
  <r>
    <x v="4"/>
    <m/>
    <x v="40"/>
    <s v="Manual colaborador"/>
    <m/>
    <d v="2026-01-07T00:00:00"/>
    <d v="2026-02-13T00:00:00"/>
    <x v="7"/>
    <x v="1"/>
    <x v="0"/>
    <x v="1"/>
    <x v="1"/>
    <m/>
  </r>
  <r>
    <x v="4"/>
    <m/>
    <x v="40"/>
    <s v="Manual centro administrativo"/>
    <m/>
    <d v="2026-01-07T00:00:00"/>
    <d v="2026-02-13T00:00:00"/>
    <x v="7"/>
    <x v="1"/>
    <x v="0"/>
    <x v="1"/>
    <x v="1"/>
    <m/>
  </r>
  <r>
    <x v="4"/>
    <m/>
    <x v="40"/>
    <s v="E-mail tempo de casa"/>
    <m/>
    <d v="2026-01-07T00:00:00"/>
    <d v="2026-02-13T00:00:00"/>
    <x v="7"/>
    <x v="1"/>
    <x v="0"/>
    <x v="1"/>
    <x v="1"/>
    <m/>
  </r>
  <r>
    <x v="4"/>
    <m/>
    <x v="41"/>
    <s v="Logo"/>
    <m/>
    <d v="2026-02-02T00:00:00"/>
    <d v="2026-02-13T00:00:00"/>
    <x v="7"/>
    <x v="1"/>
    <x v="0"/>
    <x v="1"/>
    <x v="1"/>
    <m/>
  </r>
  <r>
    <x v="4"/>
    <m/>
    <x v="41"/>
    <s v="Logo"/>
    <m/>
    <d v="2026-02-02T00:00:00"/>
    <d v="2026-02-13T00:00:00"/>
    <x v="7"/>
    <x v="1"/>
    <x v="0"/>
    <x v="1"/>
    <x v="1"/>
    <m/>
  </r>
  <r>
    <x v="4"/>
    <m/>
    <x v="41"/>
    <s v="KV"/>
    <m/>
    <d v="2026-02-02T00:00:00"/>
    <d v="2026-02-13T00:00:00"/>
    <x v="7"/>
    <x v="1"/>
    <x v="0"/>
    <x v="1"/>
    <x v="1"/>
    <m/>
  </r>
  <r>
    <x v="4"/>
    <m/>
    <x v="41"/>
    <s v="KV"/>
    <m/>
    <d v="2026-02-02T00:00:00"/>
    <d v="2026-02-13T00:00:00"/>
    <x v="7"/>
    <x v="1"/>
    <x v="0"/>
    <x v="1"/>
    <x v="1"/>
    <m/>
  </r>
  <r>
    <x v="4"/>
    <m/>
    <x v="42"/>
    <s v="Logo"/>
    <m/>
    <d v="2026-02-02T00:00:00"/>
    <d v="2026-02-13T00:00:00"/>
    <x v="7"/>
    <x v="1"/>
    <x v="0"/>
    <x v="1"/>
    <x v="1"/>
    <m/>
  </r>
  <r>
    <x v="4"/>
    <m/>
    <x v="42"/>
    <s v="Logo"/>
    <m/>
    <d v="2026-02-02T00:00:00"/>
    <d v="2026-02-13T00:00:00"/>
    <x v="7"/>
    <x v="1"/>
    <x v="0"/>
    <x v="1"/>
    <x v="1"/>
    <m/>
  </r>
  <r>
    <x v="4"/>
    <m/>
    <x v="42"/>
    <s v="KV"/>
    <m/>
    <d v="2026-02-02T00:00:00"/>
    <d v="2026-02-13T00:00:00"/>
    <x v="7"/>
    <x v="1"/>
    <x v="0"/>
    <x v="1"/>
    <x v="1"/>
    <m/>
  </r>
  <r>
    <x v="4"/>
    <m/>
    <x v="42"/>
    <s v="KV"/>
    <m/>
    <d v="2026-02-02T00:00:00"/>
    <d v="2026-02-13T00:00:00"/>
    <x v="7"/>
    <x v="1"/>
    <x v="0"/>
    <x v="1"/>
    <x v="1"/>
    <m/>
  </r>
  <r>
    <x v="4"/>
    <m/>
    <x v="43"/>
    <s v="Logo"/>
    <m/>
    <d v="2026-02-02T00:00:00"/>
    <d v="2026-02-13T00:00:00"/>
    <x v="7"/>
    <x v="1"/>
    <x v="0"/>
    <x v="1"/>
    <x v="1"/>
    <m/>
  </r>
  <r>
    <x v="4"/>
    <m/>
    <x v="43"/>
    <s v="Logo"/>
    <m/>
    <d v="2026-02-02T00:00:00"/>
    <d v="2026-02-13T00:00:00"/>
    <x v="7"/>
    <x v="1"/>
    <x v="0"/>
    <x v="1"/>
    <x v="1"/>
    <m/>
  </r>
  <r>
    <x v="4"/>
    <m/>
    <x v="43"/>
    <s v="KV"/>
    <m/>
    <d v="2026-02-02T00:00:00"/>
    <d v="2026-02-13T00:00:00"/>
    <x v="7"/>
    <x v="1"/>
    <x v="0"/>
    <x v="1"/>
    <x v="1"/>
    <m/>
  </r>
  <r>
    <x v="4"/>
    <m/>
    <x v="43"/>
    <s v="KV"/>
    <m/>
    <d v="2026-02-02T00:00:00"/>
    <d v="2026-02-13T00:00:00"/>
    <x v="7"/>
    <x v="1"/>
    <x v="0"/>
    <x v="1"/>
    <x v="1"/>
    <m/>
  </r>
  <r>
    <x v="4"/>
    <m/>
    <x v="44"/>
    <s v="E-mail 1"/>
    <m/>
    <d v="2026-02-02T00:00:00"/>
    <d v="2026-02-13T00:00:00"/>
    <x v="7"/>
    <x v="1"/>
    <x v="0"/>
    <x v="1"/>
    <x v="1"/>
    <m/>
  </r>
  <r>
    <x v="4"/>
    <m/>
    <x v="44"/>
    <s v="E-mail 2"/>
    <m/>
    <d v="2026-02-02T00:00:00"/>
    <d v="2026-02-13T00:00:00"/>
    <x v="7"/>
    <x v="1"/>
    <x v="0"/>
    <x v="1"/>
    <x v="1"/>
    <m/>
  </r>
  <r>
    <x v="4"/>
    <m/>
    <x v="44"/>
    <s v="E-mail 3"/>
    <m/>
    <d v="2026-02-02T00:00:00"/>
    <d v="2026-02-13T00:00:00"/>
    <x v="7"/>
    <x v="1"/>
    <x v="0"/>
    <x v="1"/>
    <x v="1"/>
    <m/>
  </r>
  <r>
    <x v="4"/>
    <m/>
    <x v="44"/>
    <s v="E-mail 4"/>
    <m/>
    <d v="2026-02-02T00:00:00"/>
    <d v="2026-02-13T00:00:00"/>
    <x v="7"/>
    <x v="1"/>
    <x v="0"/>
    <x v="1"/>
    <x v="1"/>
    <m/>
  </r>
  <r>
    <x v="4"/>
    <m/>
    <x v="44"/>
    <s v="E-mail 5"/>
    <m/>
    <d v="2026-02-02T00:00:00"/>
    <d v="2026-02-13T00:00:00"/>
    <x v="7"/>
    <x v="1"/>
    <x v="0"/>
    <x v="1"/>
    <x v="1"/>
    <m/>
  </r>
  <r>
    <x v="4"/>
    <m/>
    <x v="44"/>
    <s v="E-mail 6"/>
    <m/>
    <d v="2026-02-02T00:00:00"/>
    <d v="2026-02-13T00:00:00"/>
    <x v="7"/>
    <x v="1"/>
    <x v="0"/>
    <x v="1"/>
    <x v="1"/>
    <m/>
  </r>
  <r>
    <x v="4"/>
    <m/>
    <x v="44"/>
    <s v="E-mail 7"/>
    <m/>
    <d v="2026-02-02T00:00:00"/>
    <d v="2026-02-13T00:00:00"/>
    <x v="7"/>
    <x v="1"/>
    <x v="0"/>
    <x v="1"/>
    <x v="1"/>
    <m/>
  </r>
  <r>
    <x v="4"/>
    <m/>
    <x v="44"/>
    <s v="E-mail 8"/>
    <m/>
    <d v="2026-02-02T00:00:00"/>
    <d v="2026-02-13T00:00:00"/>
    <x v="7"/>
    <x v="1"/>
    <x v="0"/>
    <x v="1"/>
    <x v="1"/>
    <m/>
  </r>
  <r>
    <x v="4"/>
    <m/>
    <x v="45"/>
    <s v="Manual PGD"/>
    <m/>
    <d v="2026-01-12T00:00:00"/>
    <d v="2026-01-06T00:00:00"/>
    <x v="0"/>
    <x v="2"/>
    <x v="0"/>
    <x v="0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1AE8A-698B-4509-944F-B80E6A41AE7B}" name="Tabela dinâmica2" cacheId="53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6:B120" firstHeaderRow="1" firstDataRow="1" firstDataCol="1" rowPageCount="4" colPageCount="1"/>
  <pivotFields count="13">
    <pivotField showAll="0"/>
    <pivotField showAll="0"/>
    <pivotField axis="axisRow" showAll="0" sortType="descending">
      <items count="47">
        <item x="45"/>
        <item x="25"/>
        <item x="29"/>
        <item x="26"/>
        <item x="40"/>
        <item x="19"/>
        <item x="33"/>
        <item x="31"/>
        <item x="0"/>
        <item x="12"/>
        <item x="17"/>
        <item x="32"/>
        <item x="1"/>
        <item x="21"/>
        <item x="10"/>
        <item x="8"/>
        <item x="3"/>
        <item x="5"/>
        <item x="11"/>
        <item x="7"/>
        <item x="4"/>
        <item x="13"/>
        <item x="6"/>
        <item x="34"/>
        <item x="44"/>
        <item x="30"/>
        <item x="36"/>
        <item x="24"/>
        <item x="2"/>
        <item x="28"/>
        <item x="39"/>
        <item x="18"/>
        <item x="22"/>
        <item x="42"/>
        <item x="43"/>
        <item x="41"/>
        <item x="27"/>
        <item x="37"/>
        <item x="35"/>
        <item x="15"/>
        <item x="16"/>
        <item x="38"/>
        <item x="14"/>
        <item x="20"/>
        <item x="2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dataField="1" numFmtId="14" showAll="0"/>
    <pivotField axis="axisPage" showAll="0">
      <items count="50">
        <item x="2"/>
        <item x="5"/>
        <item x="7"/>
        <item m="1" x="31"/>
        <item x="16"/>
        <item x="9"/>
        <item m="1" x="33"/>
        <item m="1" x="34"/>
        <item x="3"/>
        <item m="1" x="29"/>
        <item m="1" x="39"/>
        <item m="1" x="42"/>
        <item m="1" x="32"/>
        <item x="6"/>
        <item m="1" x="30"/>
        <item m="1" x="36"/>
        <item m="1" x="40"/>
        <item m="1" x="35"/>
        <item m="1" x="43"/>
        <item m="1" x="28"/>
        <item m="1" x="37"/>
        <item m="1" x="41"/>
        <item m="1" x="44"/>
        <item m="1" x="45"/>
        <item m="1" x="48"/>
        <item m="1" x="46"/>
        <item m="1" x="47"/>
        <item m="1" x="38"/>
        <item x="0"/>
        <item x="1"/>
        <item x="8"/>
        <item x="4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2">
    <field x="2"/>
    <field x="11"/>
  </rowFields>
  <rowItems count="114">
    <i>
      <x v="20"/>
    </i>
    <i r="1">
      <x/>
    </i>
    <i r="1">
      <x v="1"/>
    </i>
    <i r="1">
      <x v="2"/>
    </i>
    <i>
      <x v="8"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 v="1"/>
    </i>
    <i r="1">
      <x v="2"/>
    </i>
    <i>
      <x v="6"/>
    </i>
    <i r="1">
      <x v="1"/>
    </i>
    <i r="1">
      <x v="2"/>
    </i>
    <i>
      <x v="9"/>
    </i>
    <i r="1">
      <x v="1"/>
    </i>
    <i r="1">
      <x v="2"/>
    </i>
    <i>
      <x v="7"/>
    </i>
    <i r="1">
      <x v="1"/>
    </i>
    <i r="1">
      <x v="2"/>
    </i>
    <i>
      <x v="45"/>
    </i>
    <i r="1">
      <x v="2"/>
    </i>
    <i>
      <x v="15"/>
    </i>
    <i r="1">
      <x v="2"/>
    </i>
    <i r="1">
      <x v="3"/>
    </i>
    <i>
      <x v="4"/>
    </i>
    <i r="1">
      <x v="1"/>
    </i>
    <i r="1">
      <x v="2"/>
    </i>
    <i>
      <x v="12"/>
    </i>
    <i r="1">
      <x/>
    </i>
    <i r="1">
      <x v="1"/>
    </i>
    <i r="1">
      <x v="2"/>
    </i>
    <i>
      <x v="22"/>
    </i>
    <i r="1">
      <x v="1"/>
    </i>
    <i r="1">
      <x v="2"/>
    </i>
    <i>
      <x v="5"/>
    </i>
    <i r="1">
      <x v="2"/>
    </i>
    <i r="1">
      <x v="3"/>
    </i>
    <i>
      <x v="31"/>
    </i>
    <i r="1">
      <x v="1"/>
    </i>
    <i r="1">
      <x v="2"/>
    </i>
    <i r="1">
      <x v="3"/>
    </i>
    <i>
      <x v="24"/>
    </i>
    <i r="1">
      <x v="2"/>
    </i>
    <i>
      <x v="17"/>
    </i>
    <i r="1">
      <x/>
    </i>
    <i r="1">
      <x v="1"/>
    </i>
    <i r="1">
      <x v="2"/>
    </i>
    <i>
      <x v="44"/>
    </i>
    <i r="1">
      <x v="2"/>
    </i>
    <i>
      <x v="43"/>
    </i>
    <i r="1">
      <x v="1"/>
    </i>
    <i r="1">
      <x v="2"/>
    </i>
    <i>
      <x v="13"/>
    </i>
    <i r="1">
      <x v="2"/>
    </i>
    <i r="1">
      <x v="3"/>
    </i>
    <i>
      <x v="25"/>
    </i>
    <i r="1">
      <x v="2"/>
    </i>
    <i>
      <x v="2"/>
    </i>
    <i r="1">
      <x v="2"/>
    </i>
    <i>
      <x v="30"/>
    </i>
    <i r="1">
      <x v="2"/>
    </i>
    <i>
      <x v="35"/>
    </i>
    <i r="1">
      <x v="2"/>
    </i>
    <i>
      <x v="34"/>
    </i>
    <i r="1">
      <x v="2"/>
    </i>
    <i>
      <x v="40"/>
    </i>
    <i r="1">
      <x v="2"/>
    </i>
    <i>
      <x v="37"/>
    </i>
    <i r="1">
      <x v="2"/>
    </i>
    <i>
      <x v="32"/>
    </i>
    <i r="1">
      <x v="2"/>
    </i>
    <i>
      <x v="33"/>
    </i>
    <i r="1">
      <x v="2"/>
    </i>
    <i>
      <x v="18"/>
    </i>
    <i r="1">
      <x/>
    </i>
    <i>
      <x v="26"/>
    </i>
    <i r="1">
      <x v="2"/>
    </i>
    <i>
      <x v="14"/>
    </i>
    <i r="1">
      <x v="2"/>
    </i>
    <i>
      <x v="23"/>
    </i>
    <i r="1">
      <x v="2"/>
    </i>
    <i>
      <x v="41"/>
    </i>
    <i r="1">
      <x v="2"/>
    </i>
    <i>
      <x v="38"/>
    </i>
    <i r="1">
      <x v="2"/>
    </i>
    <i>
      <x v="19"/>
    </i>
    <i r="1">
      <x v="3"/>
    </i>
    <i>
      <x v="28"/>
    </i>
    <i r="1">
      <x v="2"/>
    </i>
    <i>
      <x v="1"/>
    </i>
    <i r="1">
      <x v="2"/>
    </i>
    <i>
      <x v="27"/>
    </i>
    <i r="1">
      <x v="2"/>
    </i>
    <i>
      <x v="3"/>
    </i>
    <i r="1">
      <x v="2"/>
    </i>
    <i>
      <x v="21"/>
    </i>
    <i r="1">
      <x v="3"/>
    </i>
    <i>
      <x v="42"/>
    </i>
    <i r="1">
      <x v="2"/>
    </i>
    <i>
      <x/>
    </i>
    <i r="1">
      <x/>
    </i>
    <i>
      <x v="29"/>
    </i>
    <i r="1">
      <x v="2"/>
    </i>
    <i>
      <x v="39"/>
    </i>
    <i r="1">
      <x v="2"/>
    </i>
    <i>
      <x v="36"/>
    </i>
    <i r="1">
      <x v="2"/>
    </i>
    <i>
      <x v="16"/>
    </i>
    <i r="1">
      <x v="2"/>
    </i>
    <i t="grand">
      <x/>
    </i>
  </rowItems>
  <colItems count="1">
    <i/>
  </colItems>
  <pageFields count="4">
    <pageField fld="7" hier="-1"/>
    <pageField fld="8" hier="-1"/>
    <pageField fld="9" hier="-1"/>
    <pageField fld="10" hier="-1"/>
  </pageFields>
  <dataFields count="1">
    <dataField name="Contagem de Deadline" fld="6" subtotal="count" baseField="0" baseItem="0"/>
  </dataFields>
  <formats count="7">
    <format dxfId="24">
      <pivotArea dataOnly="0" labelOnly="1" fieldPosition="0">
        <references count="1">
          <reference field="2" count="1">
            <x v="11"/>
          </reference>
        </references>
      </pivotArea>
    </format>
    <format dxfId="25">
      <pivotArea dataOnly="0" labelOnly="1" fieldPosition="0">
        <references count="1">
          <reference field="2" count="1">
            <x v="10"/>
          </reference>
        </references>
      </pivotArea>
    </format>
    <format dxfId="26">
      <pivotArea dataOnly="0" labelOnly="1" fieldPosition="0">
        <references count="1">
          <reference field="2" count="1">
            <x v="6"/>
          </reference>
        </references>
      </pivotArea>
    </format>
    <format dxfId="27">
      <pivotArea dataOnly="0" labelOnly="1" fieldPosition="0">
        <references count="1">
          <reference field="2" count="1">
            <x v="9"/>
          </reference>
        </references>
      </pivotArea>
    </format>
    <format dxfId="28">
      <pivotArea dataOnly="0" labelOnly="1" fieldPosition="0">
        <references count="1">
          <reference field="2" count="1">
            <x v="7"/>
          </reference>
        </references>
      </pivotArea>
    </format>
    <format dxfId="29">
      <pivotArea dataOnly="0" labelOnly="1" fieldPosition="0">
        <references count="1">
          <reference field="2" count="1">
            <x v="12"/>
          </reference>
        </references>
      </pivotArea>
    </format>
    <format dxfId="30">
      <pivotArea dataOnly="0" labelOnly="1" fieldPosition="0">
        <references count="1">
          <reference field="2" count="1">
            <x v="8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B8697-D523-4F02-8C17-AC4536092A3D}" name="Tabela dinâmica4" cacheId="53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9" firstHeaderRow="1" firstDataRow="1" firstDataCol="1" rowPageCount="1" colPageCount="1"/>
  <pivotFields count="13">
    <pivotField showAll="0"/>
    <pivotField showAll="0"/>
    <pivotField axis="axisPage" showAll="0">
      <items count="47">
        <item x="45"/>
        <item x="25"/>
        <item x="29"/>
        <item x="26"/>
        <item x="40"/>
        <item x="19"/>
        <item x="33"/>
        <item x="31"/>
        <item x="0"/>
        <item x="12"/>
        <item x="17"/>
        <item x="32"/>
        <item x="1"/>
        <item x="21"/>
        <item x="10"/>
        <item x="8"/>
        <item x="3"/>
        <item x="5"/>
        <item x="11"/>
        <item x="7"/>
        <item x="4"/>
        <item x="13"/>
        <item x="6"/>
        <item x="34"/>
        <item x="44"/>
        <item x="30"/>
        <item x="36"/>
        <item x="24"/>
        <item x="2"/>
        <item x="28"/>
        <item x="39"/>
        <item x="18"/>
        <item x="22"/>
        <item x="42"/>
        <item x="43"/>
        <item x="41"/>
        <item x="27"/>
        <item x="37"/>
        <item x="35"/>
        <item x="15"/>
        <item x="16"/>
        <item x="38"/>
        <item x="14"/>
        <item x="20"/>
        <item x="23"/>
        <item x="9"/>
        <item t="default"/>
      </items>
    </pivotField>
    <pivotField showAll="0"/>
    <pivotField showAll="0"/>
    <pivotField numFmtId="14" showAll="0"/>
    <pivotField dataField="1" numFmtId="14"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Contagem de Deadline" fld="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D3AC5-1FA3-41D8-9591-3CDBD5F18002}" name="Tabela dinâmica6" cacheId="53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0" firstHeaderRow="1" firstDataRow="2" firstDataCol="1"/>
  <pivotFields count="13"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ntagem de Campanha ou Ação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86250-0231-478B-A983-CD170AD04E4F}" name="Tabela dinâmica7" cacheId="53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0" firstHeaderRow="1" firstDataRow="1" firstDataCol="1"/>
  <pivotFields count="13">
    <pivotField showAll="0"/>
    <pivotField showAll="0"/>
    <pivotField axis="axisRow" showAll="0" sortType="descending">
      <items count="47">
        <item x="45"/>
        <item x="25"/>
        <item x="29"/>
        <item x="26"/>
        <item x="40"/>
        <item x="19"/>
        <item x="33"/>
        <item x="31"/>
        <item x="0"/>
        <item x="12"/>
        <item x="17"/>
        <item x="32"/>
        <item x="1"/>
        <item x="21"/>
        <item x="10"/>
        <item x="8"/>
        <item x="3"/>
        <item x="5"/>
        <item x="11"/>
        <item x="7"/>
        <item x="4"/>
        <item x="13"/>
        <item x="6"/>
        <item x="34"/>
        <item x="44"/>
        <item x="30"/>
        <item x="36"/>
        <item x="24"/>
        <item x="2"/>
        <item x="28"/>
        <item x="39"/>
        <item x="18"/>
        <item x="22"/>
        <item x="42"/>
        <item x="43"/>
        <item x="41"/>
        <item x="27"/>
        <item x="37"/>
        <item x="35"/>
        <item x="15"/>
        <item x="16"/>
        <item x="38"/>
        <item x="14"/>
        <item x="20"/>
        <item x="2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4"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7">
    <i>
      <x v="20"/>
    </i>
    <i>
      <x v="8"/>
    </i>
    <i>
      <x v="10"/>
    </i>
    <i>
      <x v="11"/>
    </i>
    <i>
      <x v="6"/>
    </i>
    <i>
      <x v="9"/>
    </i>
    <i>
      <x v="7"/>
    </i>
    <i>
      <x v="45"/>
    </i>
    <i>
      <x v="15"/>
    </i>
    <i>
      <x v="4"/>
    </i>
    <i>
      <x v="12"/>
    </i>
    <i>
      <x v="22"/>
    </i>
    <i>
      <x v="5"/>
    </i>
    <i>
      <x v="31"/>
    </i>
    <i>
      <x v="24"/>
    </i>
    <i>
      <x v="17"/>
    </i>
    <i>
      <x v="44"/>
    </i>
    <i>
      <x v="43"/>
    </i>
    <i>
      <x v="13"/>
    </i>
    <i>
      <x v="25"/>
    </i>
    <i>
      <x v="2"/>
    </i>
    <i>
      <x v="30"/>
    </i>
    <i>
      <x v="35"/>
    </i>
    <i>
      <x v="34"/>
    </i>
    <i>
      <x v="40"/>
    </i>
    <i>
      <x v="37"/>
    </i>
    <i>
      <x v="32"/>
    </i>
    <i>
      <x v="33"/>
    </i>
    <i>
      <x v="18"/>
    </i>
    <i>
      <x v="26"/>
    </i>
    <i>
      <x v="14"/>
    </i>
    <i>
      <x v="23"/>
    </i>
    <i>
      <x v="41"/>
    </i>
    <i>
      <x v="38"/>
    </i>
    <i>
      <x v="19"/>
    </i>
    <i>
      <x v="28"/>
    </i>
    <i>
      <x v="1"/>
    </i>
    <i>
      <x v="27"/>
    </i>
    <i>
      <x v="3"/>
    </i>
    <i>
      <x v="21"/>
    </i>
    <i>
      <x v="42"/>
    </i>
    <i>
      <x/>
    </i>
    <i>
      <x v="29"/>
    </i>
    <i>
      <x v="39"/>
    </i>
    <i>
      <x v="36"/>
    </i>
    <i>
      <x v="16"/>
    </i>
    <i t="grand">
      <x/>
    </i>
  </rowItems>
  <colItems count="1">
    <i/>
  </colItems>
  <dataFields count="1">
    <dataField name="Contagem de Data de Solicitação" fld="5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7"/>
  <sheetViews>
    <sheetView showGridLines="0" tabSelected="1" topLeftCell="A188" workbookViewId="0">
      <pane xSplit="3" topLeftCell="D492" activePane="topRight" state="frozen"/>
      <selection pane="topRight" activeCell="C518" sqref="C518"/>
    </sheetView>
  </sheetViews>
  <sheetFormatPr defaultRowHeight="14.45"/>
  <cols>
    <col min="1" max="1" width="18.85546875" style="5" bestFit="1" customWidth="1"/>
    <col min="2" max="2" width="14.42578125" style="20" customWidth="1"/>
    <col min="3" max="3" width="37.5703125" style="12" bestFit="1" customWidth="1"/>
    <col min="4" max="4" width="41.140625" style="5" customWidth="1"/>
    <col min="5" max="5" width="42.5703125" style="5" customWidth="1"/>
    <col min="6" max="6" width="16.5703125" style="6" customWidth="1"/>
    <col min="7" max="7" width="11.42578125" style="6" bestFit="1" customWidth="1"/>
    <col min="8" max="8" width="15.85546875" style="10" bestFit="1" customWidth="1"/>
    <col min="9" max="11" width="17.5703125" style="9" customWidth="1"/>
    <col min="12" max="12" width="32" style="9" customWidth="1"/>
    <col min="13" max="13" width="66.42578125" style="5" customWidth="1"/>
  </cols>
  <sheetData>
    <row r="1" spans="1:13">
      <c r="A1" s="7" t="s">
        <v>0</v>
      </c>
      <c r="B1" s="11" t="s">
        <v>1</v>
      </c>
      <c r="C1" s="11" t="s">
        <v>2</v>
      </c>
      <c r="D1" s="7" t="s">
        <v>3</v>
      </c>
      <c r="E1" s="7" t="s">
        <v>4</v>
      </c>
      <c r="F1" s="15" t="s">
        <v>5</v>
      </c>
      <c r="G1" s="15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>
      <c r="A2" s="5" t="s">
        <v>13</v>
      </c>
      <c r="C2" s="12" t="s">
        <v>14</v>
      </c>
      <c r="D2" s="5" t="s">
        <v>15</v>
      </c>
      <c r="F2" s="6">
        <v>45962</v>
      </c>
      <c r="G2" s="6">
        <v>46021</v>
      </c>
      <c r="H2" s="10" t="str">
        <f ca="1">IF(INT(G2-TODAY())&lt;=0,"Prazo encerrado",INT(G2-TODAY()))</f>
        <v>Prazo encerrado</v>
      </c>
      <c r="I2" s="8" t="s">
        <v>16</v>
      </c>
      <c r="J2" s="8" t="s">
        <v>17</v>
      </c>
      <c r="K2" s="8" t="s">
        <v>18</v>
      </c>
      <c r="L2" s="8" t="s">
        <v>19</v>
      </c>
      <c r="M2" s="5" t="s">
        <v>20</v>
      </c>
    </row>
    <row r="3" spans="1:13">
      <c r="A3" s="5" t="s">
        <v>13</v>
      </c>
      <c r="C3" s="12" t="s">
        <v>14</v>
      </c>
      <c r="D3" s="5" t="s">
        <v>21</v>
      </c>
      <c r="F3" s="6">
        <v>45992</v>
      </c>
      <c r="G3" s="6">
        <v>46022</v>
      </c>
      <c r="H3" s="10" t="str">
        <f t="shared" ref="H3:H48" ca="1" si="0">IF(INT(G3-TODAY())&lt;=0,"Prazo encerrado",INT(G3-TODAY()))</f>
        <v>Prazo encerrado</v>
      </c>
      <c r="I3" s="8" t="s">
        <v>22</v>
      </c>
      <c r="J3" s="8" t="s">
        <v>17</v>
      </c>
      <c r="K3" s="8" t="s">
        <v>18</v>
      </c>
      <c r="L3" s="8" t="s">
        <v>19</v>
      </c>
      <c r="M3" s="5" t="s">
        <v>20</v>
      </c>
    </row>
    <row r="4" spans="1:13">
      <c r="A4" s="5" t="s">
        <v>13</v>
      </c>
      <c r="C4" s="12" t="s">
        <v>14</v>
      </c>
      <c r="D4" s="5" t="s">
        <v>23</v>
      </c>
      <c r="F4" s="6">
        <v>46022</v>
      </c>
      <c r="G4" s="6">
        <v>46038</v>
      </c>
      <c r="H4" s="10" t="str">
        <f t="shared" ca="1" si="0"/>
        <v>Prazo encerrado</v>
      </c>
      <c r="I4" s="8" t="s">
        <v>22</v>
      </c>
      <c r="J4" s="8" t="s">
        <v>17</v>
      </c>
      <c r="K4" s="8" t="s">
        <v>18</v>
      </c>
      <c r="L4" s="8" t="s">
        <v>19</v>
      </c>
      <c r="M4" s="5" t="s">
        <v>20</v>
      </c>
    </row>
    <row r="5" spans="1:13">
      <c r="A5" s="5" t="s">
        <v>13</v>
      </c>
      <c r="C5" s="12" t="s">
        <v>14</v>
      </c>
      <c r="D5" s="5" t="s">
        <v>24</v>
      </c>
      <c r="F5" s="6">
        <v>46023</v>
      </c>
      <c r="G5" s="6">
        <v>46041</v>
      </c>
      <c r="H5" s="10" t="str">
        <f t="shared" ca="1" si="0"/>
        <v>Prazo encerrado</v>
      </c>
      <c r="I5" s="8" t="s">
        <v>16</v>
      </c>
      <c r="J5" s="8" t="s">
        <v>17</v>
      </c>
      <c r="K5" s="8" t="s">
        <v>18</v>
      </c>
      <c r="L5" s="8" t="s">
        <v>19</v>
      </c>
      <c r="M5" s="5" t="s">
        <v>20</v>
      </c>
    </row>
    <row r="6" spans="1:13">
      <c r="A6" s="5" t="s">
        <v>13</v>
      </c>
      <c r="C6" s="12" t="s">
        <v>14</v>
      </c>
      <c r="D6" s="5" t="s">
        <v>25</v>
      </c>
      <c r="F6" s="6">
        <v>46023</v>
      </c>
      <c r="G6" s="6">
        <v>46041</v>
      </c>
      <c r="H6" s="10" t="str">
        <f t="shared" ca="1" si="0"/>
        <v>Prazo encerrado</v>
      </c>
      <c r="I6" s="8" t="s">
        <v>16</v>
      </c>
      <c r="J6" s="8" t="s">
        <v>17</v>
      </c>
      <c r="K6" s="8" t="s">
        <v>18</v>
      </c>
      <c r="L6" s="8" t="s">
        <v>19</v>
      </c>
      <c r="M6" s="5" t="s">
        <v>20</v>
      </c>
    </row>
    <row r="7" spans="1:13">
      <c r="A7" s="5" t="s">
        <v>13</v>
      </c>
      <c r="C7" s="12" t="s">
        <v>14</v>
      </c>
      <c r="D7" s="5" t="s">
        <v>26</v>
      </c>
      <c r="F7" s="6">
        <v>46023</v>
      </c>
      <c r="G7" s="6">
        <v>46041</v>
      </c>
      <c r="H7" s="10" t="str">
        <f t="shared" ca="1" si="0"/>
        <v>Prazo encerrado</v>
      </c>
      <c r="I7" s="8" t="s">
        <v>16</v>
      </c>
      <c r="J7" s="8" t="s">
        <v>17</v>
      </c>
      <c r="K7" s="8" t="s">
        <v>18</v>
      </c>
      <c r="L7" s="8" t="s">
        <v>19</v>
      </c>
      <c r="M7" s="5" t="s">
        <v>20</v>
      </c>
    </row>
    <row r="8" spans="1:13">
      <c r="A8" s="5" t="s">
        <v>13</v>
      </c>
      <c r="C8" s="12" t="s">
        <v>14</v>
      </c>
      <c r="D8" s="5" t="s">
        <v>27</v>
      </c>
      <c r="F8" s="6">
        <v>46023</v>
      </c>
      <c r="G8" s="6">
        <v>46041</v>
      </c>
      <c r="H8" s="10" t="str">
        <f t="shared" ca="1" si="0"/>
        <v>Prazo encerrado</v>
      </c>
      <c r="I8" s="8" t="s">
        <v>16</v>
      </c>
      <c r="J8" s="8" t="s">
        <v>17</v>
      </c>
      <c r="K8" s="8" t="s">
        <v>18</v>
      </c>
      <c r="L8" s="8" t="s">
        <v>19</v>
      </c>
      <c r="M8" s="5" t="s">
        <v>20</v>
      </c>
    </row>
    <row r="9" spans="1:13">
      <c r="A9" s="5" t="s">
        <v>13</v>
      </c>
      <c r="C9" s="12" t="s">
        <v>14</v>
      </c>
      <c r="D9" s="5" t="s">
        <v>28</v>
      </c>
      <c r="F9" s="6">
        <v>46023</v>
      </c>
      <c r="G9" s="6">
        <v>46041</v>
      </c>
      <c r="H9" s="10" t="str">
        <f t="shared" ca="1" si="0"/>
        <v>Prazo encerrado</v>
      </c>
      <c r="I9" s="8" t="s">
        <v>16</v>
      </c>
      <c r="J9" s="8" t="s">
        <v>17</v>
      </c>
      <c r="K9" s="8" t="s">
        <v>18</v>
      </c>
      <c r="L9" s="8" t="s">
        <v>19</v>
      </c>
      <c r="M9" s="5" t="s">
        <v>20</v>
      </c>
    </row>
    <row r="10" spans="1:13">
      <c r="A10" s="5" t="s">
        <v>13</v>
      </c>
      <c r="C10" s="12" t="s">
        <v>14</v>
      </c>
      <c r="D10" s="5" t="s">
        <v>29</v>
      </c>
      <c r="F10" s="6">
        <v>46023</v>
      </c>
      <c r="G10" s="6">
        <v>46041</v>
      </c>
      <c r="H10" s="10" t="str">
        <f t="shared" ca="1" si="0"/>
        <v>Prazo encerrado</v>
      </c>
      <c r="I10" s="8" t="s">
        <v>16</v>
      </c>
      <c r="J10" s="8" t="s">
        <v>17</v>
      </c>
      <c r="K10" s="8" t="s">
        <v>18</v>
      </c>
      <c r="L10" s="8" t="s">
        <v>19</v>
      </c>
      <c r="M10" s="5" t="s">
        <v>20</v>
      </c>
    </row>
    <row r="11" spans="1:13">
      <c r="A11" s="5" t="s">
        <v>13</v>
      </c>
      <c r="C11" s="12" t="s">
        <v>14</v>
      </c>
      <c r="D11" s="5" t="s">
        <v>30</v>
      </c>
      <c r="F11" s="6">
        <v>46023</v>
      </c>
      <c r="G11" s="6">
        <v>46041</v>
      </c>
      <c r="H11" s="10" t="str">
        <f t="shared" ca="1" si="0"/>
        <v>Prazo encerrado</v>
      </c>
      <c r="I11" s="8" t="s">
        <v>16</v>
      </c>
      <c r="J11" s="8" t="s">
        <v>17</v>
      </c>
      <c r="K11" s="8" t="s">
        <v>18</v>
      </c>
      <c r="L11" s="8" t="s">
        <v>19</v>
      </c>
      <c r="M11" s="5" t="s">
        <v>20</v>
      </c>
    </row>
    <row r="12" spans="1:13">
      <c r="A12" s="5" t="s">
        <v>13</v>
      </c>
      <c r="C12" s="12" t="s">
        <v>14</v>
      </c>
      <c r="D12" s="5" t="s">
        <v>31</v>
      </c>
      <c r="F12" s="6">
        <v>46023</v>
      </c>
      <c r="G12" s="6">
        <v>46041</v>
      </c>
      <c r="H12" s="10" t="str">
        <f t="shared" ca="1" si="0"/>
        <v>Prazo encerrado</v>
      </c>
      <c r="I12" s="8" t="s">
        <v>16</v>
      </c>
      <c r="J12" s="8" t="s">
        <v>17</v>
      </c>
      <c r="K12" s="8" t="s">
        <v>18</v>
      </c>
      <c r="L12" s="8" t="s">
        <v>19</v>
      </c>
      <c r="M12" s="5" t="s">
        <v>20</v>
      </c>
    </row>
    <row r="13" spans="1:13">
      <c r="A13" s="5" t="s">
        <v>13</v>
      </c>
      <c r="C13" s="12" t="s">
        <v>14</v>
      </c>
      <c r="D13" s="5" t="s">
        <v>32</v>
      </c>
      <c r="F13" s="6">
        <v>46023</v>
      </c>
      <c r="G13" s="6">
        <v>46041</v>
      </c>
      <c r="H13" s="10" t="str">
        <f t="shared" ca="1" si="0"/>
        <v>Prazo encerrado</v>
      </c>
      <c r="I13" s="8" t="s">
        <v>16</v>
      </c>
      <c r="J13" s="8" t="s">
        <v>17</v>
      </c>
      <c r="K13" s="8" t="s">
        <v>18</v>
      </c>
      <c r="L13" s="8" t="s">
        <v>19</v>
      </c>
      <c r="M13" s="5" t="s">
        <v>20</v>
      </c>
    </row>
    <row r="14" spans="1:13">
      <c r="A14" s="5" t="s">
        <v>13</v>
      </c>
      <c r="C14" s="12" t="s">
        <v>14</v>
      </c>
      <c r="D14" s="5" t="s">
        <v>33</v>
      </c>
      <c r="F14" s="6">
        <v>46023</v>
      </c>
      <c r="G14" s="6">
        <v>46034</v>
      </c>
      <c r="H14" s="10" t="str">
        <f t="shared" ca="1" si="0"/>
        <v>Prazo encerrado</v>
      </c>
      <c r="I14" s="8" t="s">
        <v>16</v>
      </c>
      <c r="J14" s="8" t="s">
        <v>17</v>
      </c>
      <c r="K14" s="8" t="s">
        <v>18</v>
      </c>
      <c r="L14" s="8" t="s">
        <v>19</v>
      </c>
      <c r="M14" s="5" t="s">
        <v>20</v>
      </c>
    </row>
    <row r="15" spans="1:13">
      <c r="A15" s="5" t="s">
        <v>13</v>
      </c>
      <c r="C15" s="12" t="s">
        <v>14</v>
      </c>
      <c r="D15" s="5" t="s">
        <v>34</v>
      </c>
      <c r="F15" s="6">
        <v>46023</v>
      </c>
      <c r="G15" s="6">
        <v>46034</v>
      </c>
      <c r="H15" s="10" t="str">
        <f t="shared" ca="1" si="0"/>
        <v>Prazo encerrado</v>
      </c>
      <c r="I15" s="8" t="s">
        <v>16</v>
      </c>
      <c r="J15" s="8" t="s">
        <v>17</v>
      </c>
      <c r="K15" s="8" t="s">
        <v>18</v>
      </c>
      <c r="L15" s="8" t="s">
        <v>19</v>
      </c>
      <c r="M15" s="5" t="s">
        <v>20</v>
      </c>
    </row>
    <row r="16" spans="1:13">
      <c r="A16" s="5" t="s">
        <v>13</v>
      </c>
      <c r="C16" s="12" t="s">
        <v>14</v>
      </c>
      <c r="D16" s="5" t="s">
        <v>35</v>
      </c>
      <c r="F16" s="6">
        <v>46023</v>
      </c>
      <c r="G16" s="6">
        <v>46034</v>
      </c>
      <c r="H16" s="10" t="str">
        <f t="shared" ca="1" si="0"/>
        <v>Prazo encerrado</v>
      </c>
      <c r="I16" s="8" t="s">
        <v>16</v>
      </c>
      <c r="J16" s="8" t="s">
        <v>17</v>
      </c>
      <c r="K16" s="8" t="s">
        <v>18</v>
      </c>
      <c r="L16" s="8" t="s">
        <v>19</v>
      </c>
      <c r="M16" s="5" t="s">
        <v>20</v>
      </c>
    </row>
    <row r="17" spans="1:13">
      <c r="A17" s="5" t="s">
        <v>13</v>
      </c>
      <c r="C17" s="12" t="s">
        <v>14</v>
      </c>
      <c r="D17" s="5" t="s">
        <v>36</v>
      </c>
      <c r="F17" s="6">
        <v>46023</v>
      </c>
      <c r="G17" s="6">
        <v>46034</v>
      </c>
      <c r="H17" s="10" t="str">
        <f t="shared" ca="1" si="0"/>
        <v>Prazo encerrado</v>
      </c>
      <c r="I17" s="8" t="s">
        <v>16</v>
      </c>
      <c r="J17" s="8" t="s">
        <v>17</v>
      </c>
      <c r="K17" s="8" t="s">
        <v>18</v>
      </c>
      <c r="L17" s="8" t="s">
        <v>19</v>
      </c>
      <c r="M17" s="5" t="s">
        <v>20</v>
      </c>
    </row>
    <row r="18" spans="1:13">
      <c r="A18" s="5" t="s">
        <v>13</v>
      </c>
      <c r="C18" s="12" t="s">
        <v>14</v>
      </c>
      <c r="D18" s="5" t="s">
        <v>37</v>
      </c>
      <c r="F18" s="6">
        <v>46023</v>
      </c>
      <c r="G18" s="6">
        <v>46034</v>
      </c>
      <c r="H18" s="10" t="str">
        <f t="shared" ca="1" si="0"/>
        <v>Prazo encerrado</v>
      </c>
      <c r="I18" s="8" t="s">
        <v>16</v>
      </c>
      <c r="J18" s="8" t="s">
        <v>17</v>
      </c>
      <c r="K18" s="8" t="s">
        <v>18</v>
      </c>
      <c r="L18" s="8" t="s">
        <v>19</v>
      </c>
      <c r="M18" s="5" t="s">
        <v>20</v>
      </c>
    </row>
    <row r="19" spans="1:13">
      <c r="A19" s="5" t="s">
        <v>13</v>
      </c>
      <c r="C19" s="12" t="s">
        <v>14</v>
      </c>
      <c r="D19" s="5" t="s">
        <v>38</v>
      </c>
      <c r="F19" s="6">
        <v>46023</v>
      </c>
      <c r="G19" s="6">
        <v>46034</v>
      </c>
      <c r="H19" s="10" t="str">
        <f t="shared" ca="1" si="0"/>
        <v>Prazo encerrado</v>
      </c>
      <c r="I19" s="8" t="s">
        <v>16</v>
      </c>
      <c r="J19" s="8" t="s">
        <v>17</v>
      </c>
      <c r="K19" s="8" t="s">
        <v>18</v>
      </c>
      <c r="L19" s="8" t="s">
        <v>19</v>
      </c>
      <c r="M19" s="5" t="s">
        <v>20</v>
      </c>
    </row>
    <row r="20" spans="1:13">
      <c r="A20" s="5" t="s">
        <v>13</v>
      </c>
      <c r="C20" s="12" t="s">
        <v>14</v>
      </c>
      <c r="D20" s="5" t="s">
        <v>39</v>
      </c>
      <c r="F20" s="6">
        <v>46023</v>
      </c>
      <c r="G20" s="6">
        <v>46034</v>
      </c>
      <c r="H20" s="10" t="str">
        <f t="shared" ca="1" si="0"/>
        <v>Prazo encerrado</v>
      </c>
      <c r="I20" s="8" t="s">
        <v>16</v>
      </c>
      <c r="J20" s="8" t="s">
        <v>17</v>
      </c>
      <c r="K20" s="8" t="s">
        <v>18</v>
      </c>
      <c r="L20" s="8" t="s">
        <v>19</v>
      </c>
      <c r="M20" s="5" t="s">
        <v>20</v>
      </c>
    </row>
    <row r="21" spans="1:13">
      <c r="A21" s="5" t="s">
        <v>13</v>
      </c>
      <c r="C21" s="12" t="s">
        <v>14</v>
      </c>
      <c r="D21" s="5" t="s">
        <v>40</v>
      </c>
      <c r="F21" s="6">
        <v>46023</v>
      </c>
      <c r="G21" s="6">
        <v>46034</v>
      </c>
      <c r="H21" s="10" t="str">
        <f t="shared" ca="1" si="0"/>
        <v>Prazo encerrado</v>
      </c>
      <c r="I21" s="8" t="s">
        <v>16</v>
      </c>
      <c r="J21" s="8" t="s">
        <v>17</v>
      </c>
      <c r="K21" s="8" t="s">
        <v>18</v>
      </c>
      <c r="L21" s="8" t="s">
        <v>19</v>
      </c>
      <c r="M21" s="5" t="s">
        <v>20</v>
      </c>
    </row>
    <row r="22" spans="1:13">
      <c r="A22" s="5" t="s">
        <v>13</v>
      </c>
      <c r="C22" s="12" t="s">
        <v>14</v>
      </c>
      <c r="D22" s="5" t="s">
        <v>41</v>
      </c>
      <c r="F22" s="6">
        <v>46023</v>
      </c>
      <c r="G22" s="6">
        <v>46034</v>
      </c>
      <c r="H22" s="10" t="str">
        <f t="shared" ca="1" si="0"/>
        <v>Prazo encerrado</v>
      </c>
      <c r="I22" s="8" t="s">
        <v>16</v>
      </c>
      <c r="J22" s="8" t="s">
        <v>17</v>
      </c>
      <c r="K22" s="8" t="s">
        <v>18</v>
      </c>
      <c r="L22" s="8" t="s">
        <v>19</v>
      </c>
      <c r="M22" s="5" t="s">
        <v>20</v>
      </c>
    </row>
    <row r="23" spans="1:13">
      <c r="A23" s="5" t="s">
        <v>13</v>
      </c>
      <c r="C23" s="12" t="s">
        <v>14</v>
      </c>
      <c r="D23" s="5" t="s">
        <v>42</v>
      </c>
      <c r="F23" s="6">
        <v>46023</v>
      </c>
      <c r="G23" s="6">
        <v>46034</v>
      </c>
      <c r="H23" s="10" t="str">
        <f t="shared" ca="1" si="0"/>
        <v>Prazo encerrado</v>
      </c>
      <c r="I23" s="8" t="s">
        <v>16</v>
      </c>
      <c r="J23" s="8" t="s">
        <v>17</v>
      </c>
      <c r="K23" s="8" t="s">
        <v>18</v>
      </c>
      <c r="L23" s="8" t="s">
        <v>19</v>
      </c>
      <c r="M23" s="5" t="s">
        <v>20</v>
      </c>
    </row>
    <row r="24" spans="1:13">
      <c r="A24" s="5" t="s">
        <v>13</v>
      </c>
      <c r="C24" s="12" t="s">
        <v>14</v>
      </c>
      <c r="D24" s="5" t="s">
        <v>43</v>
      </c>
      <c r="F24" s="6">
        <v>46023</v>
      </c>
      <c r="G24" s="6">
        <v>46034</v>
      </c>
      <c r="H24" s="10" t="str">
        <f t="shared" ca="1" si="0"/>
        <v>Prazo encerrado</v>
      </c>
      <c r="I24" s="8" t="s">
        <v>16</v>
      </c>
      <c r="J24" s="8" t="s">
        <v>17</v>
      </c>
      <c r="K24" s="8" t="s">
        <v>18</v>
      </c>
      <c r="L24" s="8" t="s">
        <v>19</v>
      </c>
      <c r="M24" s="5" t="s">
        <v>20</v>
      </c>
    </row>
    <row r="25" spans="1:13">
      <c r="A25" s="5" t="s">
        <v>13</v>
      </c>
      <c r="C25" s="12" t="s">
        <v>14</v>
      </c>
      <c r="D25" s="5" t="s">
        <v>44</v>
      </c>
      <c r="F25" s="6">
        <v>46023</v>
      </c>
      <c r="G25" s="6">
        <v>46034</v>
      </c>
      <c r="H25" s="10" t="str">
        <f t="shared" ca="1" si="0"/>
        <v>Prazo encerrado</v>
      </c>
      <c r="I25" s="8" t="s">
        <v>16</v>
      </c>
      <c r="J25" s="8" t="s">
        <v>17</v>
      </c>
      <c r="K25" s="8" t="s">
        <v>18</v>
      </c>
      <c r="L25" s="8" t="s">
        <v>19</v>
      </c>
      <c r="M25" s="5" t="s">
        <v>20</v>
      </c>
    </row>
    <row r="26" spans="1:13">
      <c r="A26" s="5" t="s">
        <v>13</v>
      </c>
      <c r="C26" s="12" t="s">
        <v>14</v>
      </c>
      <c r="D26" s="5" t="s">
        <v>45</v>
      </c>
      <c r="F26" s="6">
        <v>46023</v>
      </c>
      <c r="G26" s="6">
        <v>46034</v>
      </c>
      <c r="H26" s="10" t="str">
        <f t="shared" ca="1" si="0"/>
        <v>Prazo encerrado</v>
      </c>
      <c r="I26" s="8" t="s">
        <v>16</v>
      </c>
      <c r="J26" s="8" t="s">
        <v>17</v>
      </c>
      <c r="K26" s="8" t="s">
        <v>18</v>
      </c>
      <c r="L26" s="8" t="s">
        <v>19</v>
      </c>
      <c r="M26" s="5" t="s">
        <v>20</v>
      </c>
    </row>
    <row r="27" spans="1:13">
      <c r="A27" s="5" t="s">
        <v>13</v>
      </c>
      <c r="C27" s="12" t="s">
        <v>14</v>
      </c>
      <c r="D27" s="5" t="s">
        <v>46</v>
      </c>
      <c r="F27" s="6">
        <v>46023</v>
      </c>
      <c r="G27" s="6">
        <v>46034</v>
      </c>
      <c r="H27" s="10" t="str">
        <f t="shared" ca="1" si="0"/>
        <v>Prazo encerrado</v>
      </c>
      <c r="I27" s="8" t="s">
        <v>16</v>
      </c>
      <c r="J27" s="8" t="s">
        <v>17</v>
      </c>
      <c r="K27" s="8" t="s">
        <v>18</v>
      </c>
      <c r="L27" s="8" t="s">
        <v>19</v>
      </c>
      <c r="M27" s="5" t="s">
        <v>20</v>
      </c>
    </row>
    <row r="28" spans="1:13">
      <c r="A28" s="5" t="s">
        <v>13</v>
      </c>
      <c r="C28" s="12" t="s">
        <v>14</v>
      </c>
      <c r="D28" s="5" t="s">
        <v>47</v>
      </c>
      <c r="F28" s="6">
        <v>46023</v>
      </c>
      <c r="G28" s="6">
        <v>46034</v>
      </c>
      <c r="H28" s="10" t="str">
        <f t="shared" ca="1" si="0"/>
        <v>Prazo encerrado</v>
      </c>
      <c r="I28" s="8" t="s">
        <v>16</v>
      </c>
      <c r="J28" s="8" t="s">
        <v>17</v>
      </c>
      <c r="K28" s="8" t="s">
        <v>18</v>
      </c>
      <c r="L28" s="8" t="s">
        <v>19</v>
      </c>
      <c r="M28" s="5" t="s">
        <v>20</v>
      </c>
    </row>
    <row r="29" spans="1:13">
      <c r="A29" s="5" t="s">
        <v>13</v>
      </c>
      <c r="C29" s="12" t="s">
        <v>14</v>
      </c>
      <c r="D29" s="5" t="s">
        <v>48</v>
      </c>
      <c r="F29" s="6">
        <v>46023</v>
      </c>
      <c r="G29" s="6">
        <v>46034</v>
      </c>
      <c r="H29" s="10" t="str">
        <f t="shared" ca="1" si="0"/>
        <v>Prazo encerrado</v>
      </c>
      <c r="I29" s="8" t="s">
        <v>16</v>
      </c>
      <c r="J29" s="8" t="s">
        <v>17</v>
      </c>
      <c r="K29" s="8" t="s">
        <v>18</v>
      </c>
      <c r="L29" s="8" t="s">
        <v>19</v>
      </c>
      <c r="M29" s="5" t="s">
        <v>20</v>
      </c>
    </row>
    <row r="30" spans="1:13">
      <c r="A30" s="5" t="s">
        <v>13</v>
      </c>
      <c r="C30" s="12" t="s">
        <v>14</v>
      </c>
      <c r="D30" s="5" t="s">
        <v>49</v>
      </c>
      <c r="F30" s="6">
        <v>46023</v>
      </c>
      <c r="G30" s="6">
        <v>46034</v>
      </c>
      <c r="H30" s="10" t="str">
        <f t="shared" ca="1" si="0"/>
        <v>Prazo encerrado</v>
      </c>
      <c r="I30" s="8" t="s">
        <v>16</v>
      </c>
      <c r="J30" s="8" t="s">
        <v>17</v>
      </c>
      <c r="K30" s="8" t="s">
        <v>18</v>
      </c>
      <c r="L30" s="8" t="s">
        <v>19</v>
      </c>
      <c r="M30" s="5" t="s">
        <v>20</v>
      </c>
    </row>
    <row r="31" spans="1:13">
      <c r="A31" s="5" t="s">
        <v>13</v>
      </c>
      <c r="C31" s="12" t="s">
        <v>14</v>
      </c>
      <c r="D31" s="5" t="s">
        <v>50</v>
      </c>
      <c r="F31" s="6">
        <v>46023</v>
      </c>
      <c r="G31" s="6">
        <v>46034</v>
      </c>
      <c r="H31" s="10" t="str">
        <f t="shared" ca="1" si="0"/>
        <v>Prazo encerrado</v>
      </c>
      <c r="I31" s="8" t="s">
        <v>16</v>
      </c>
      <c r="J31" s="8" t="s">
        <v>17</v>
      </c>
      <c r="K31" s="8" t="s">
        <v>18</v>
      </c>
      <c r="L31" s="8" t="s">
        <v>19</v>
      </c>
      <c r="M31" s="5" t="s">
        <v>20</v>
      </c>
    </row>
    <row r="32" spans="1:13">
      <c r="A32" s="5" t="s">
        <v>13</v>
      </c>
      <c r="C32" s="12" t="s">
        <v>14</v>
      </c>
      <c r="D32" s="5" t="s">
        <v>51</v>
      </c>
      <c r="F32" s="6">
        <v>46023</v>
      </c>
      <c r="G32" s="6">
        <v>46034</v>
      </c>
      <c r="H32" s="10" t="str">
        <f t="shared" ca="1" si="0"/>
        <v>Prazo encerrado</v>
      </c>
      <c r="I32" s="8" t="s">
        <v>16</v>
      </c>
      <c r="J32" s="8" t="s">
        <v>17</v>
      </c>
      <c r="K32" s="8" t="s">
        <v>18</v>
      </c>
      <c r="L32" s="8" t="s">
        <v>19</v>
      </c>
      <c r="M32" s="5" t="s">
        <v>20</v>
      </c>
    </row>
    <row r="33" spans="1:13">
      <c r="A33" s="5" t="s">
        <v>13</v>
      </c>
      <c r="C33" s="12" t="s">
        <v>14</v>
      </c>
      <c r="D33" s="5" t="s">
        <v>52</v>
      </c>
      <c r="F33" s="6">
        <v>46023</v>
      </c>
      <c r="G33" s="6">
        <v>46034</v>
      </c>
      <c r="H33" s="10" t="str">
        <f t="shared" ca="1" si="0"/>
        <v>Prazo encerrado</v>
      </c>
      <c r="I33" s="8" t="s">
        <v>16</v>
      </c>
      <c r="J33" s="8" t="s">
        <v>17</v>
      </c>
      <c r="K33" s="8" t="s">
        <v>18</v>
      </c>
      <c r="L33" s="8" t="s">
        <v>19</v>
      </c>
      <c r="M33" s="5" t="s">
        <v>20</v>
      </c>
    </row>
    <row r="34" spans="1:13">
      <c r="A34" s="5" t="s">
        <v>13</v>
      </c>
      <c r="C34" s="12" t="s">
        <v>14</v>
      </c>
      <c r="D34" s="5" t="s">
        <v>53</v>
      </c>
      <c r="F34" s="6">
        <v>46041</v>
      </c>
      <c r="G34" s="6">
        <v>46034</v>
      </c>
      <c r="H34" s="10" t="str">
        <f t="shared" ca="1" si="0"/>
        <v>Prazo encerrado</v>
      </c>
      <c r="I34" s="8" t="s">
        <v>16</v>
      </c>
      <c r="J34" s="8" t="s">
        <v>17</v>
      </c>
      <c r="K34" s="8" t="s">
        <v>18</v>
      </c>
      <c r="L34" s="8" t="s">
        <v>19</v>
      </c>
      <c r="M34" s="5" t="s">
        <v>20</v>
      </c>
    </row>
    <row r="35" spans="1:13">
      <c r="A35" s="5" t="s">
        <v>54</v>
      </c>
      <c r="C35" s="12" t="s">
        <v>14</v>
      </c>
      <c r="D35" s="5" t="s">
        <v>55</v>
      </c>
      <c r="F35" s="6">
        <v>46055</v>
      </c>
      <c r="G35" s="6">
        <v>46059</v>
      </c>
      <c r="H35" s="10" t="str">
        <f t="shared" ca="1" si="0"/>
        <v>Prazo encerrado</v>
      </c>
      <c r="I35" s="8" t="s">
        <v>16</v>
      </c>
      <c r="J35" s="8" t="s">
        <v>17</v>
      </c>
      <c r="K35" s="8" t="s">
        <v>56</v>
      </c>
      <c r="L35" s="8" t="s">
        <v>57</v>
      </c>
      <c r="M35" s="5" t="s">
        <v>58</v>
      </c>
    </row>
    <row r="36" spans="1:13">
      <c r="A36" s="5" t="s">
        <v>54</v>
      </c>
      <c r="C36" s="12" t="s">
        <v>14</v>
      </c>
      <c r="D36" s="5" t="s">
        <v>59</v>
      </c>
      <c r="F36" s="6">
        <v>46055</v>
      </c>
      <c r="G36" s="6">
        <v>46059</v>
      </c>
      <c r="H36" s="10" t="str">
        <f t="shared" ca="1" si="0"/>
        <v>Prazo encerrado</v>
      </c>
      <c r="I36" s="8" t="s">
        <v>16</v>
      </c>
      <c r="J36" s="8" t="s">
        <v>17</v>
      </c>
      <c r="K36" s="8" t="s">
        <v>56</v>
      </c>
      <c r="L36" s="8" t="s">
        <v>57</v>
      </c>
      <c r="M36" s="5" t="s">
        <v>58</v>
      </c>
    </row>
    <row r="37" spans="1:13">
      <c r="A37" s="5" t="s">
        <v>54</v>
      </c>
      <c r="C37" s="12" t="s">
        <v>14</v>
      </c>
      <c r="D37" s="5" t="s">
        <v>60</v>
      </c>
      <c r="F37" s="6">
        <v>46055</v>
      </c>
      <c r="G37" s="6">
        <v>46059</v>
      </c>
      <c r="H37" s="10" t="str">
        <f t="shared" ca="1" si="0"/>
        <v>Prazo encerrado</v>
      </c>
      <c r="I37" s="8" t="s">
        <v>16</v>
      </c>
      <c r="J37" s="8" t="s">
        <v>17</v>
      </c>
      <c r="K37" s="8" t="s">
        <v>56</v>
      </c>
      <c r="L37" s="8" t="s">
        <v>57</v>
      </c>
      <c r="M37" s="5" t="s">
        <v>58</v>
      </c>
    </row>
    <row r="38" spans="1:13">
      <c r="A38" s="5" t="s">
        <v>54</v>
      </c>
      <c r="C38" s="12" t="s">
        <v>14</v>
      </c>
      <c r="D38" s="5" t="s">
        <v>61</v>
      </c>
      <c r="F38" s="6">
        <v>46055</v>
      </c>
      <c r="G38" s="6">
        <v>46059</v>
      </c>
      <c r="H38" s="10" t="str">
        <f t="shared" ca="1" si="0"/>
        <v>Prazo encerrado</v>
      </c>
      <c r="I38" s="8" t="s">
        <v>16</v>
      </c>
      <c r="J38" s="8" t="s">
        <v>17</v>
      </c>
      <c r="K38" s="8" t="s">
        <v>56</v>
      </c>
      <c r="L38" s="8" t="s">
        <v>57</v>
      </c>
      <c r="M38" s="5" t="s">
        <v>58</v>
      </c>
    </row>
    <row r="39" spans="1:13">
      <c r="A39" s="5" t="s">
        <v>54</v>
      </c>
      <c r="C39" s="12" t="s">
        <v>14</v>
      </c>
      <c r="D39" s="5" t="s">
        <v>62</v>
      </c>
      <c r="F39" s="6">
        <v>46055</v>
      </c>
      <c r="G39" s="6">
        <v>46059</v>
      </c>
      <c r="H39" s="10" t="str">
        <f t="shared" ca="1" si="0"/>
        <v>Prazo encerrado</v>
      </c>
      <c r="I39" s="8" t="s">
        <v>16</v>
      </c>
      <c r="J39" s="8" t="s">
        <v>17</v>
      </c>
      <c r="K39" s="8" t="s">
        <v>56</v>
      </c>
      <c r="L39" s="8" t="s">
        <v>57</v>
      </c>
      <c r="M39" s="5" t="s">
        <v>58</v>
      </c>
    </row>
    <row r="40" spans="1:13">
      <c r="A40" s="5" t="s">
        <v>54</v>
      </c>
      <c r="C40" s="12" t="s">
        <v>14</v>
      </c>
      <c r="D40" s="5" t="s">
        <v>63</v>
      </c>
      <c r="F40" s="6">
        <v>46055</v>
      </c>
      <c r="G40" s="6">
        <v>46059</v>
      </c>
      <c r="H40" s="10" t="str">
        <f t="shared" ca="1" si="0"/>
        <v>Prazo encerrado</v>
      </c>
      <c r="I40" s="8" t="s">
        <v>16</v>
      </c>
      <c r="J40" s="8" t="s">
        <v>17</v>
      </c>
      <c r="K40" s="8" t="s">
        <v>56</v>
      </c>
      <c r="L40" s="8" t="s">
        <v>57</v>
      </c>
      <c r="M40" s="5" t="s">
        <v>58</v>
      </c>
    </row>
    <row r="41" spans="1:13">
      <c r="A41" s="5" t="s">
        <v>54</v>
      </c>
      <c r="C41" s="12" t="s">
        <v>14</v>
      </c>
      <c r="D41" s="5" t="s">
        <v>64</v>
      </c>
      <c r="F41" s="6">
        <v>46050</v>
      </c>
      <c r="G41" s="6">
        <v>46063</v>
      </c>
      <c r="H41" s="10" t="str">
        <f t="shared" ca="1" si="0"/>
        <v>Prazo encerrado</v>
      </c>
      <c r="I41" s="8" t="s">
        <v>16</v>
      </c>
      <c r="J41" s="8" t="s">
        <v>17</v>
      </c>
      <c r="K41" s="8" t="s">
        <v>56</v>
      </c>
      <c r="L41" s="8" t="s">
        <v>57</v>
      </c>
      <c r="M41" s="5" t="s">
        <v>58</v>
      </c>
    </row>
    <row r="42" spans="1:13">
      <c r="A42" s="5" t="s">
        <v>54</v>
      </c>
      <c r="C42" s="12" t="s">
        <v>14</v>
      </c>
      <c r="D42" s="5" t="s">
        <v>65</v>
      </c>
      <c r="F42" s="6">
        <v>46050</v>
      </c>
      <c r="G42" s="6">
        <v>46063</v>
      </c>
      <c r="H42" s="10" t="str">
        <f t="shared" ca="1" si="0"/>
        <v>Prazo encerrado</v>
      </c>
      <c r="I42" s="8" t="s">
        <v>16</v>
      </c>
      <c r="J42" s="8" t="s">
        <v>17</v>
      </c>
      <c r="K42" s="8" t="s">
        <v>56</v>
      </c>
      <c r="L42" s="8" t="s">
        <v>57</v>
      </c>
      <c r="M42" s="5" t="s">
        <v>58</v>
      </c>
    </row>
    <row r="43" spans="1:13">
      <c r="A43" s="5" t="s">
        <v>54</v>
      </c>
      <c r="C43" s="12" t="s">
        <v>14</v>
      </c>
      <c r="D43" s="5" t="s">
        <v>66</v>
      </c>
      <c r="F43" s="6">
        <v>46050</v>
      </c>
      <c r="G43" s="6">
        <v>46063</v>
      </c>
      <c r="H43" s="10" t="str">
        <f t="shared" ca="1" si="0"/>
        <v>Prazo encerrado</v>
      </c>
      <c r="I43" s="8" t="s">
        <v>16</v>
      </c>
      <c r="J43" s="8" t="s">
        <v>17</v>
      </c>
      <c r="K43" s="8" t="s">
        <v>56</v>
      </c>
      <c r="L43" s="8" t="s">
        <v>57</v>
      </c>
      <c r="M43" s="5" t="s">
        <v>58</v>
      </c>
    </row>
    <row r="44" spans="1:13">
      <c r="A44" s="5" t="s">
        <v>54</v>
      </c>
      <c r="C44" s="12" t="s">
        <v>14</v>
      </c>
      <c r="D44" s="5" t="s">
        <v>67</v>
      </c>
      <c r="F44" s="6">
        <v>46057</v>
      </c>
      <c r="G44" s="6">
        <v>46063</v>
      </c>
      <c r="H44" s="10" t="str">
        <f t="shared" ca="1" si="0"/>
        <v>Prazo encerrado</v>
      </c>
      <c r="I44" s="8" t="s">
        <v>16</v>
      </c>
      <c r="J44" s="8" t="s">
        <v>17</v>
      </c>
      <c r="K44" s="8" t="s">
        <v>56</v>
      </c>
      <c r="L44" s="8" t="s">
        <v>57</v>
      </c>
      <c r="M44" s="5" t="s">
        <v>58</v>
      </c>
    </row>
    <row r="45" spans="1:13">
      <c r="A45" s="5" t="s">
        <v>54</v>
      </c>
      <c r="C45" s="12" t="s">
        <v>14</v>
      </c>
      <c r="D45" s="5" t="s">
        <v>68</v>
      </c>
      <c r="F45" s="6">
        <v>46057</v>
      </c>
      <c r="G45" s="6">
        <v>46063</v>
      </c>
      <c r="H45" s="10" t="str">
        <f t="shared" ca="1" si="0"/>
        <v>Prazo encerrado</v>
      </c>
      <c r="I45" s="8" t="s">
        <v>16</v>
      </c>
      <c r="J45" s="8" t="s">
        <v>17</v>
      </c>
      <c r="K45" s="8" t="s">
        <v>56</v>
      </c>
      <c r="L45" s="8" t="s">
        <v>57</v>
      </c>
      <c r="M45" s="5" t="s">
        <v>58</v>
      </c>
    </row>
    <row r="46" spans="1:13">
      <c r="A46" s="5" t="s">
        <v>54</v>
      </c>
      <c r="C46" s="12" t="s">
        <v>14</v>
      </c>
      <c r="D46" s="5" t="s">
        <v>69</v>
      </c>
      <c r="F46" s="6">
        <v>46057</v>
      </c>
      <c r="G46" s="6">
        <v>46063</v>
      </c>
      <c r="H46" s="10" t="str">
        <f t="shared" ca="1" si="0"/>
        <v>Prazo encerrado</v>
      </c>
      <c r="I46" s="8" t="s">
        <v>16</v>
      </c>
      <c r="J46" s="8" t="s">
        <v>17</v>
      </c>
      <c r="K46" s="8" t="s">
        <v>56</v>
      </c>
      <c r="L46" s="8" t="s">
        <v>57</v>
      </c>
      <c r="M46" s="5" t="s">
        <v>58</v>
      </c>
    </row>
    <row r="47" spans="1:13">
      <c r="A47" s="5" t="s">
        <v>54</v>
      </c>
      <c r="C47" s="12" t="s">
        <v>14</v>
      </c>
      <c r="D47" s="5" t="s">
        <v>70</v>
      </c>
      <c r="F47" s="6">
        <v>46058</v>
      </c>
      <c r="G47" s="6">
        <v>46111</v>
      </c>
      <c r="H47" s="10">
        <f t="shared" ca="1" si="0"/>
        <v>48</v>
      </c>
      <c r="I47" s="8" t="s">
        <v>71</v>
      </c>
      <c r="J47" s="8" t="s">
        <v>17</v>
      </c>
      <c r="K47" s="8" t="s">
        <v>56</v>
      </c>
      <c r="L47" s="8" t="s">
        <v>57</v>
      </c>
      <c r="M47" s="5" t="s">
        <v>58</v>
      </c>
    </row>
    <row r="48" spans="1:13">
      <c r="A48" s="5" t="s">
        <v>54</v>
      </c>
      <c r="C48" s="12" t="s">
        <v>72</v>
      </c>
      <c r="D48" s="5" t="s">
        <v>73</v>
      </c>
      <c r="F48" s="6">
        <v>46014</v>
      </c>
      <c r="G48" s="6">
        <v>46064</v>
      </c>
      <c r="H48" s="10">
        <f t="shared" ca="1" si="0"/>
        <v>1</v>
      </c>
      <c r="I48" s="8" t="s">
        <v>22</v>
      </c>
      <c r="J48" s="8" t="s">
        <v>17</v>
      </c>
      <c r="K48" s="8" t="s">
        <v>56</v>
      </c>
      <c r="L48" s="8" t="s">
        <v>57</v>
      </c>
      <c r="M48" s="5" t="s">
        <v>58</v>
      </c>
    </row>
    <row r="49" spans="1:13">
      <c r="A49" s="5" t="s">
        <v>54</v>
      </c>
      <c r="C49" s="12" t="s">
        <v>72</v>
      </c>
      <c r="D49" s="5" t="s">
        <v>74</v>
      </c>
      <c r="F49" s="6">
        <v>46014</v>
      </c>
      <c r="G49" s="6">
        <v>46064</v>
      </c>
      <c r="H49" s="10">
        <f t="shared" ref="H49:H205" ca="1" si="1">IF(INT(G49-TODAY())&lt;=0,"Prazo encerrado",INT(G49-TODAY()))</f>
        <v>1</v>
      </c>
      <c r="I49" s="8" t="s">
        <v>22</v>
      </c>
      <c r="J49" s="8" t="s">
        <v>17</v>
      </c>
      <c r="K49" s="8" t="s">
        <v>56</v>
      </c>
      <c r="L49" s="8" t="s">
        <v>57</v>
      </c>
      <c r="M49" s="5" t="s">
        <v>58</v>
      </c>
    </row>
    <row r="50" spans="1:13">
      <c r="A50" s="5" t="s">
        <v>54</v>
      </c>
      <c r="C50" s="12" t="s">
        <v>72</v>
      </c>
      <c r="D50" s="5" t="s">
        <v>75</v>
      </c>
      <c r="F50" s="6">
        <v>46014</v>
      </c>
      <c r="G50" s="6">
        <v>46064</v>
      </c>
      <c r="H50" s="10">
        <f t="shared" ca="1" si="1"/>
        <v>1</v>
      </c>
      <c r="I50" s="8" t="s">
        <v>22</v>
      </c>
      <c r="J50" s="8" t="s">
        <v>17</v>
      </c>
      <c r="K50" s="8" t="s">
        <v>56</v>
      </c>
      <c r="L50" s="8" t="s">
        <v>57</v>
      </c>
      <c r="M50" s="5" t="s">
        <v>58</v>
      </c>
    </row>
    <row r="51" spans="1:13">
      <c r="A51" s="5" t="s">
        <v>54</v>
      </c>
      <c r="C51" s="12" t="s">
        <v>72</v>
      </c>
      <c r="D51" s="5" t="s">
        <v>76</v>
      </c>
      <c r="F51" s="6">
        <v>46014</v>
      </c>
      <c r="G51" s="6">
        <v>46064</v>
      </c>
      <c r="H51" s="10">
        <f t="shared" ca="1" si="1"/>
        <v>1</v>
      </c>
      <c r="I51" s="8" t="s">
        <v>22</v>
      </c>
      <c r="J51" s="8" t="s">
        <v>17</v>
      </c>
      <c r="K51" s="8" t="s">
        <v>56</v>
      </c>
      <c r="L51" s="8" t="s">
        <v>57</v>
      </c>
      <c r="M51" s="5" t="s">
        <v>58</v>
      </c>
    </row>
    <row r="52" spans="1:13">
      <c r="A52" s="5" t="s">
        <v>54</v>
      </c>
      <c r="C52" s="12" t="s">
        <v>72</v>
      </c>
      <c r="D52" s="5" t="s">
        <v>77</v>
      </c>
      <c r="F52" s="6">
        <v>46014</v>
      </c>
      <c r="G52" s="6">
        <v>46064</v>
      </c>
      <c r="H52" s="10">
        <f t="shared" ca="1" si="1"/>
        <v>1</v>
      </c>
      <c r="I52" s="8" t="s">
        <v>22</v>
      </c>
      <c r="J52" s="8" t="s">
        <v>17</v>
      </c>
      <c r="K52" s="8" t="s">
        <v>56</v>
      </c>
      <c r="L52" s="8" t="s">
        <v>57</v>
      </c>
      <c r="M52" s="5" t="s">
        <v>58</v>
      </c>
    </row>
    <row r="53" spans="1:13">
      <c r="A53" s="5" t="s">
        <v>54</v>
      </c>
      <c r="C53" s="12" t="s">
        <v>72</v>
      </c>
      <c r="D53" s="5" t="s">
        <v>78</v>
      </c>
      <c r="F53" s="6">
        <v>46014</v>
      </c>
      <c r="G53" s="6">
        <v>46064</v>
      </c>
      <c r="H53" s="10">
        <f t="shared" ca="1" si="1"/>
        <v>1</v>
      </c>
      <c r="I53" s="8" t="s">
        <v>16</v>
      </c>
      <c r="J53" s="8" t="s">
        <v>79</v>
      </c>
      <c r="K53" s="8" t="s">
        <v>18</v>
      </c>
      <c r="L53" s="8" t="s">
        <v>19</v>
      </c>
      <c r="M53" s="5" t="s">
        <v>80</v>
      </c>
    </row>
    <row r="54" spans="1:13">
      <c r="A54" s="5" t="s">
        <v>54</v>
      </c>
      <c r="C54" s="12" t="s">
        <v>72</v>
      </c>
      <c r="D54" s="5" t="s">
        <v>81</v>
      </c>
      <c r="F54" s="6">
        <v>46014</v>
      </c>
      <c r="G54" s="6">
        <v>46064</v>
      </c>
      <c r="H54" s="10">
        <f t="shared" ca="1" si="1"/>
        <v>1</v>
      </c>
      <c r="I54" s="8" t="s">
        <v>16</v>
      </c>
      <c r="J54" s="8" t="s">
        <v>79</v>
      </c>
      <c r="K54" s="8" t="s">
        <v>18</v>
      </c>
      <c r="L54" s="8" t="s">
        <v>19</v>
      </c>
      <c r="M54" s="5" t="s">
        <v>80</v>
      </c>
    </row>
    <row r="55" spans="1:13">
      <c r="A55" s="5" t="s">
        <v>54</v>
      </c>
      <c r="C55" s="12" t="s">
        <v>72</v>
      </c>
      <c r="D55" s="5" t="s">
        <v>82</v>
      </c>
      <c r="F55" s="6">
        <v>46014</v>
      </c>
      <c r="G55" s="6">
        <v>46064</v>
      </c>
      <c r="H55" s="10">
        <f t="shared" ca="1" si="1"/>
        <v>1</v>
      </c>
      <c r="I55" s="8" t="s">
        <v>16</v>
      </c>
      <c r="J55" s="8" t="s">
        <v>17</v>
      </c>
      <c r="K55" s="8" t="s">
        <v>56</v>
      </c>
      <c r="L55" s="8" t="s">
        <v>57</v>
      </c>
      <c r="M55" s="5" t="s">
        <v>83</v>
      </c>
    </row>
    <row r="56" spans="1:13">
      <c r="A56" s="5" t="s">
        <v>54</v>
      </c>
      <c r="C56" s="12" t="s">
        <v>72</v>
      </c>
      <c r="D56" s="5" t="s">
        <v>84</v>
      </c>
      <c r="F56" s="6">
        <v>46014</v>
      </c>
      <c r="G56" s="6">
        <v>46064</v>
      </c>
      <c r="H56" s="10">
        <f t="shared" ca="1" si="1"/>
        <v>1</v>
      </c>
      <c r="I56" s="8" t="s">
        <v>16</v>
      </c>
      <c r="J56" s="8" t="s">
        <v>17</v>
      </c>
      <c r="K56" s="8" t="s">
        <v>56</v>
      </c>
      <c r="L56" s="8" t="s">
        <v>57</v>
      </c>
      <c r="M56" s="5" t="s">
        <v>58</v>
      </c>
    </row>
    <row r="57" spans="1:13">
      <c r="A57" s="5" t="s">
        <v>54</v>
      </c>
      <c r="C57" s="12" t="s">
        <v>72</v>
      </c>
      <c r="D57" s="5" t="s">
        <v>85</v>
      </c>
      <c r="F57" s="6">
        <v>46014</v>
      </c>
      <c r="G57" s="6">
        <v>46064</v>
      </c>
      <c r="H57" s="10">
        <f t="shared" ca="1" si="1"/>
        <v>1</v>
      </c>
      <c r="I57" s="8" t="s">
        <v>16</v>
      </c>
      <c r="J57" s="8" t="s">
        <v>17</v>
      </c>
      <c r="K57" s="8" t="s">
        <v>56</v>
      </c>
      <c r="L57" s="8" t="s">
        <v>57</v>
      </c>
      <c r="M57" s="5" t="s">
        <v>58</v>
      </c>
    </row>
    <row r="58" spans="1:13">
      <c r="A58" s="5" t="s">
        <v>54</v>
      </c>
      <c r="C58" s="12" t="s">
        <v>72</v>
      </c>
      <c r="D58" s="5" t="s">
        <v>86</v>
      </c>
      <c r="F58" s="6">
        <v>46014</v>
      </c>
      <c r="G58" s="6">
        <v>46064</v>
      </c>
      <c r="H58" s="10">
        <f t="shared" ca="1" si="1"/>
        <v>1</v>
      </c>
      <c r="I58" s="8" t="s">
        <v>16</v>
      </c>
      <c r="J58" s="8" t="s">
        <v>17</v>
      </c>
      <c r="K58" s="8" t="s">
        <v>18</v>
      </c>
      <c r="L58" s="8" t="s">
        <v>87</v>
      </c>
      <c r="M58" s="5" t="s">
        <v>88</v>
      </c>
    </row>
    <row r="59" spans="1:13">
      <c r="A59" s="5" t="s">
        <v>54</v>
      </c>
      <c r="C59" s="12" t="s">
        <v>72</v>
      </c>
      <c r="D59" s="5" t="s">
        <v>89</v>
      </c>
      <c r="F59" s="6">
        <v>46057</v>
      </c>
      <c r="G59" s="6">
        <v>46064</v>
      </c>
      <c r="H59" s="10">
        <f t="shared" ca="1" si="1"/>
        <v>1</v>
      </c>
      <c r="I59" s="8" t="s">
        <v>22</v>
      </c>
      <c r="J59" s="8" t="s">
        <v>17</v>
      </c>
      <c r="K59" s="8" t="s">
        <v>56</v>
      </c>
      <c r="L59" s="8" t="s">
        <v>57</v>
      </c>
      <c r="M59" s="5" t="s">
        <v>58</v>
      </c>
    </row>
    <row r="60" spans="1:13">
      <c r="A60" s="5" t="s">
        <v>54</v>
      </c>
      <c r="C60" s="12" t="s">
        <v>72</v>
      </c>
      <c r="D60" s="5" t="s">
        <v>90</v>
      </c>
      <c r="F60" s="6">
        <v>46057</v>
      </c>
      <c r="G60" s="6">
        <v>46064</v>
      </c>
      <c r="H60" s="10">
        <f t="shared" ca="1" si="1"/>
        <v>1</v>
      </c>
      <c r="I60" s="8" t="s">
        <v>22</v>
      </c>
      <c r="J60" s="8" t="s">
        <v>17</v>
      </c>
      <c r="K60" s="8" t="s">
        <v>56</v>
      </c>
      <c r="L60" s="8" t="s">
        <v>57</v>
      </c>
      <c r="M60" s="5" t="s">
        <v>58</v>
      </c>
    </row>
    <row r="61" spans="1:13">
      <c r="A61" s="5" t="s">
        <v>54</v>
      </c>
      <c r="C61" s="12" t="s">
        <v>72</v>
      </c>
      <c r="D61" s="5" t="s">
        <v>91</v>
      </c>
      <c r="F61" s="6">
        <v>46057</v>
      </c>
      <c r="G61" s="6">
        <v>46064</v>
      </c>
      <c r="H61" s="10">
        <f t="shared" ca="1" si="1"/>
        <v>1</v>
      </c>
      <c r="I61" s="8" t="s">
        <v>22</v>
      </c>
      <c r="J61" s="8" t="s">
        <v>17</v>
      </c>
      <c r="K61" s="8" t="s">
        <v>56</v>
      </c>
      <c r="L61" s="8" t="s">
        <v>57</v>
      </c>
      <c r="M61" s="5" t="s">
        <v>58</v>
      </c>
    </row>
    <row r="62" spans="1:13">
      <c r="A62" s="5" t="s">
        <v>54</v>
      </c>
      <c r="C62" s="12" t="s">
        <v>72</v>
      </c>
      <c r="D62" s="5" t="s">
        <v>92</v>
      </c>
      <c r="F62" s="6">
        <v>46057</v>
      </c>
      <c r="G62" s="6">
        <v>46064</v>
      </c>
      <c r="H62" s="10">
        <f t="shared" ca="1" si="1"/>
        <v>1</v>
      </c>
      <c r="I62" s="8" t="s">
        <v>22</v>
      </c>
      <c r="J62" s="8" t="s">
        <v>17</v>
      </c>
      <c r="K62" s="8" t="s">
        <v>56</v>
      </c>
      <c r="L62" s="8" t="s">
        <v>57</v>
      </c>
      <c r="M62" s="5" t="s">
        <v>58</v>
      </c>
    </row>
    <row r="63" spans="1:13">
      <c r="A63" s="5" t="s">
        <v>54</v>
      </c>
      <c r="C63" s="12" t="s">
        <v>72</v>
      </c>
      <c r="D63" s="5" t="s">
        <v>93</v>
      </c>
      <c r="F63" s="6">
        <v>46057</v>
      </c>
      <c r="G63" s="6">
        <v>46077</v>
      </c>
      <c r="H63" s="10">
        <f t="shared" ca="1" si="1"/>
        <v>14</v>
      </c>
      <c r="I63" s="8" t="s">
        <v>22</v>
      </c>
      <c r="J63" s="8" t="s">
        <v>17</v>
      </c>
      <c r="K63" s="8" t="s">
        <v>56</v>
      </c>
      <c r="L63" s="8" t="s">
        <v>57</v>
      </c>
      <c r="M63" s="5" t="s">
        <v>58</v>
      </c>
    </row>
    <row r="64" spans="1:13">
      <c r="A64" s="5" t="s">
        <v>54</v>
      </c>
      <c r="C64" s="12" t="s">
        <v>94</v>
      </c>
      <c r="D64" s="5" t="s">
        <v>95</v>
      </c>
      <c r="F64" s="6">
        <v>46050</v>
      </c>
      <c r="G64" s="6">
        <v>46073</v>
      </c>
      <c r="H64" s="10">
        <f ca="1">IF(INT(G64-TODAY())&lt;=0,"Prazo encerrado",INT(G64-TODAY()))</f>
        <v>10</v>
      </c>
      <c r="I64" s="8" t="s">
        <v>22</v>
      </c>
      <c r="J64" s="8" t="s">
        <v>17</v>
      </c>
      <c r="K64" s="8" t="s">
        <v>56</v>
      </c>
      <c r="L64" s="8" t="s">
        <v>57</v>
      </c>
      <c r="M64" s="5" t="s">
        <v>58</v>
      </c>
    </row>
    <row r="65" spans="1:13">
      <c r="A65" s="5" t="s">
        <v>54</v>
      </c>
      <c r="C65" s="12" t="s">
        <v>94</v>
      </c>
      <c r="D65" s="5" t="s">
        <v>86</v>
      </c>
      <c r="F65" s="6">
        <v>46035</v>
      </c>
      <c r="G65" s="6">
        <v>46073</v>
      </c>
      <c r="H65" s="10">
        <f ca="1">IF(INT(G65-TODAY())&lt;=0,"Prazo encerrado",INT(G65-TODAY()))</f>
        <v>10</v>
      </c>
      <c r="I65" s="8" t="s">
        <v>16</v>
      </c>
      <c r="J65" s="8" t="s">
        <v>17</v>
      </c>
      <c r="K65" s="8" t="s">
        <v>56</v>
      </c>
      <c r="L65" s="8" t="s">
        <v>57</v>
      </c>
      <c r="M65" s="5" t="s">
        <v>58</v>
      </c>
    </row>
    <row r="66" spans="1:13">
      <c r="A66" s="5" t="s">
        <v>54</v>
      </c>
      <c r="C66" s="12" t="s">
        <v>96</v>
      </c>
      <c r="D66" s="5" t="s">
        <v>97</v>
      </c>
      <c r="F66" s="6">
        <v>46049</v>
      </c>
      <c r="G66" s="6">
        <v>46052</v>
      </c>
      <c r="H66" s="10" t="str">
        <f ca="1">IF(INT(G66-TODAY())&lt;=0,"Prazo encerrado",INT(G66-TODAY()))</f>
        <v>Prazo encerrado</v>
      </c>
      <c r="I66" s="8" t="s">
        <v>16</v>
      </c>
      <c r="J66" s="8" t="s">
        <v>17</v>
      </c>
      <c r="K66" s="8" t="s">
        <v>18</v>
      </c>
      <c r="L66" s="8" t="s">
        <v>57</v>
      </c>
      <c r="M66" s="5" t="s">
        <v>58</v>
      </c>
    </row>
    <row r="67" spans="1:13">
      <c r="A67" s="5" t="s">
        <v>98</v>
      </c>
      <c r="C67" s="12" t="s">
        <v>99</v>
      </c>
      <c r="D67" s="5" t="s">
        <v>100</v>
      </c>
      <c r="F67" s="6">
        <v>45975</v>
      </c>
      <c r="G67" s="6">
        <v>46013</v>
      </c>
      <c r="H67" s="10" t="str">
        <f t="shared" ca="1" si="1"/>
        <v>Prazo encerrado</v>
      </c>
      <c r="I67" s="8" t="s">
        <v>71</v>
      </c>
      <c r="J67" s="8"/>
      <c r="K67" s="8" t="s">
        <v>18</v>
      </c>
      <c r="L67" s="8" t="s">
        <v>19</v>
      </c>
      <c r="M67" s="5" t="s">
        <v>101</v>
      </c>
    </row>
    <row r="68" spans="1:13">
      <c r="A68" s="5" t="s">
        <v>98</v>
      </c>
      <c r="C68" s="12" t="s">
        <v>99</v>
      </c>
      <c r="D68" s="5" t="s">
        <v>102</v>
      </c>
      <c r="F68" s="6">
        <v>45975</v>
      </c>
      <c r="G68" s="6">
        <v>46013</v>
      </c>
      <c r="H68" s="10" t="str">
        <f t="shared" ca="1" si="1"/>
        <v>Prazo encerrado</v>
      </c>
      <c r="I68" s="8" t="s">
        <v>71</v>
      </c>
      <c r="J68" s="8"/>
      <c r="K68" s="8" t="s">
        <v>18</v>
      </c>
      <c r="L68" s="8" t="s">
        <v>19</v>
      </c>
      <c r="M68" s="5" t="s">
        <v>103</v>
      </c>
    </row>
    <row r="69" spans="1:13">
      <c r="A69" s="5" t="s">
        <v>98</v>
      </c>
      <c r="C69" s="12" t="s">
        <v>99</v>
      </c>
      <c r="D69" s="5" t="s">
        <v>104</v>
      </c>
      <c r="F69" s="6">
        <v>45975</v>
      </c>
      <c r="G69" s="6">
        <v>46027</v>
      </c>
      <c r="H69" s="10" t="str">
        <f t="shared" ca="1" si="1"/>
        <v>Prazo encerrado</v>
      </c>
      <c r="I69" s="8" t="s">
        <v>16</v>
      </c>
      <c r="J69" s="8"/>
      <c r="K69" s="8" t="s">
        <v>56</v>
      </c>
      <c r="L69" s="8" t="s">
        <v>57</v>
      </c>
      <c r="M69" s="5" t="s">
        <v>105</v>
      </c>
    </row>
    <row r="70" spans="1:13">
      <c r="A70" s="5" t="s">
        <v>98</v>
      </c>
      <c r="C70" s="12" t="s">
        <v>99</v>
      </c>
      <c r="D70" s="5" t="s">
        <v>106</v>
      </c>
      <c r="F70" s="6">
        <v>46042</v>
      </c>
      <c r="G70" s="6">
        <v>46045</v>
      </c>
      <c r="H70" s="10" t="str">
        <f t="shared" ca="1" si="1"/>
        <v>Prazo encerrado</v>
      </c>
      <c r="I70" s="8" t="s">
        <v>71</v>
      </c>
      <c r="J70" s="8"/>
      <c r="K70" s="8" t="s">
        <v>18</v>
      </c>
      <c r="L70" s="8" t="s">
        <v>19</v>
      </c>
      <c r="M70" s="5" t="s">
        <v>107</v>
      </c>
    </row>
    <row r="71" spans="1:13">
      <c r="A71" s="5" t="s">
        <v>98</v>
      </c>
      <c r="C71" s="12" t="s">
        <v>99</v>
      </c>
      <c r="D71" s="5" t="s">
        <v>108</v>
      </c>
      <c r="F71" s="6">
        <v>46042</v>
      </c>
      <c r="G71" s="6">
        <v>46047</v>
      </c>
      <c r="H71" s="10" t="str">
        <f t="shared" ca="1" si="1"/>
        <v>Prazo encerrado</v>
      </c>
      <c r="I71" s="8" t="s">
        <v>71</v>
      </c>
      <c r="J71" s="8"/>
      <c r="K71" s="8" t="s">
        <v>18</v>
      </c>
      <c r="L71" s="8" t="s">
        <v>19</v>
      </c>
      <c r="M71" s="5" t="s">
        <v>109</v>
      </c>
    </row>
    <row r="72" spans="1:13">
      <c r="A72" s="5" t="s">
        <v>98</v>
      </c>
      <c r="C72" s="12" t="s">
        <v>99</v>
      </c>
      <c r="D72" s="5" t="s">
        <v>110</v>
      </c>
      <c r="F72" s="6">
        <v>46042</v>
      </c>
      <c r="G72" s="6">
        <v>46047</v>
      </c>
      <c r="H72" s="10" t="str">
        <f t="shared" ca="1" si="1"/>
        <v>Prazo encerrado</v>
      </c>
      <c r="I72" s="8" t="s">
        <v>71</v>
      </c>
      <c r="J72" s="8"/>
      <c r="K72" s="8" t="s">
        <v>18</v>
      </c>
      <c r="L72" s="8" t="s">
        <v>19</v>
      </c>
      <c r="M72" s="5" t="s">
        <v>111</v>
      </c>
    </row>
    <row r="73" spans="1:13">
      <c r="A73" s="5" t="s">
        <v>98</v>
      </c>
      <c r="C73" s="12" t="s">
        <v>99</v>
      </c>
      <c r="D73" s="5" t="s">
        <v>112</v>
      </c>
      <c r="F73" s="6">
        <v>46042</v>
      </c>
      <c r="G73" s="6">
        <v>46047</v>
      </c>
      <c r="H73" s="10" t="str">
        <f t="shared" ca="1" si="1"/>
        <v>Prazo encerrado</v>
      </c>
      <c r="I73" s="8" t="s">
        <v>71</v>
      </c>
      <c r="J73" s="8"/>
      <c r="K73" s="8" t="s">
        <v>18</v>
      </c>
      <c r="L73" s="8" t="s">
        <v>19</v>
      </c>
      <c r="M73" s="5" t="s">
        <v>113</v>
      </c>
    </row>
    <row r="74" spans="1:13">
      <c r="A74" s="5" t="s">
        <v>98</v>
      </c>
      <c r="C74" s="12" t="s">
        <v>99</v>
      </c>
      <c r="D74" s="5" t="s">
        <v>114</v>
      </c>
      <c r="F74" s="6">
        <v>46042</v>
      </c>
      <c r="G74" s="6">
        <v>46048</v>
      </c>
      <c r="H74" s="10" t="str">
        <f t="shared" ca="1" si="1"/>
        <v>Prazo encerrado</v>
      </c>
      <c r="I74" s="8" t="s">
        <v>71</v>
      </c>
      <c r="J74" s="8"/>
      <c r="K74" s="8" t="s">
        <v>56</v>
      </c>
      <c r="L74" s="8" t="s">
        <v>87</v>
      </c>
      <c r="M74" s="5" t="s">
        <v>115</v>
      </c>
    </row>
    <row r="75" spans="1:13">
      <c r="A75" s="5" t="s">
        <v>98</v>
      </c>
      <c r="C75" s="12" t="s">
        <v>99</v>
      </c>
      <c r="D75" s="5" t="s">
        <v>116</v>
      </c>
      <c r="F75" s="6">
        <v>46042</v>
      </c>
      <c r="G75" s="6">
        <v>46048</v>
      </c>
      <c r="H75" s="10" t="str">
        <f t="shared" ca="1" si="1"/>
        <v>Prazo encerrado</v>
      </c>
      <c r="I75" s="8" t="s">
        <v>71</v>
      </c>
      <c r="J75" s="8"/>
      <c r="K75" s="8" t="s">
        <v>56</v>
      </c>
      <c r="L75" s="8" t="s">
        <v>57</v>
      </c>
      <c r="M75" s="5" t="s">
        <v>117</v>
      </c>
    </row>
    <row r="76" spans="1:13">
      <c r="A76" s="5" t="s">
        <v>98</v>
      </c>
      <c r="C76" s="12" t="s">
        <v>99</v>
      </c>
      <c r="D76" s="5" t="s">
        <v>118</v>
      </c>
      <c r="F76" s="6">
        <v>46042</v>
      </c>
      <c r="G76" s="6">
        <v>46051</v>
      </c>
      <c r="H76" s="10" t="str">
        <f t="shared" ca="1" si="1"/>
        <v>Prazo encerrado</v>
      </c>
      <c r="I76" s="8" t="s">
        <v>71</v>
      </c>
      <c r="J76" s="8"/>
      <c r="K76" s="8" t="s">
        <v>18</v>
      </c>
      <c r="L76" s="8" t="s">
        <v>87</v>
      </c>
      <c r="M76" s="5" t="s">
        <v>119</v>
      </c>
    </row>
    <row r="77" spans="1:13">
      <c r="A77" s="5" t="s">
        <v>98</v>
      </c>
      <c r="C77" s="12" t="s">
        <v>99</v>
      </c>
      <c r="D77" s="5" t="s">
        <v>120</v>
      </c>
      <c r="F77" s="6">
        <v>46042</v>
      </c>
      <c r="G77" s="6">
        <v>46051</v>
      </c>
      <c r="H77" s="10" t="str">
        <f t="shared" ca="1" si="1"/>
        <v>Prazo encerrado</v>
      </c>
      <c r="I77" s="8" t="s">
        <v>71</v>
      </c>
      <c r="J77" s="8"/>
      <c r="K77" s="8" t="s">
        <v>56</v>
      </c>
      <c r="L77" s="8" t="s">
        <v>57</v>
      </c>
      <c r="M77" s="5" t="s">
        <v>121</v>
      </c>
    </row>
    <row r="78" spans="1:13">
      <c r="A78" s="5" t="s">
        <v>98</v>
      </c>
      <c r="C78" s="12" t="s">
        <v>99</v>
      </c>
      <c r="D78" s="5" t="s">
        <v>122</v>
      </c>
      <c r="F78" s="6">
        <v>46042</v>
      </c>
      <c r="G78" s="6">
        <v>46051</v>
      </c>
      <c r="H78" s="10" t="str">
        <f t="shared" ca="1" si="1"/>
        <v>Prazo encerrado</v>
      </c>
      <c r="I78" s="8" t="s">
        <v>71</v>
      </c>
      <c r="J78" s="8"/>
      <c r="K78" s="8" t="s">
        <v>56</v>
      </c>
      <c r="L78" s="8" t="s">
        <v>57</v>
      </c>
      <c r="M78" s="5" t="s">
        <v>123</v>
      </c>
    </row>
    <row r="79" spans="1:13">
      <c r="A79" s="5" t="s">
        <v>98</v>
      </c>
      <c r="C79" s="12" t="s">
        <v>99</v>
      </c>
      <c r="D79" s="5" t="s">
        <v>124</v>
      </c>
      <c r="F79" s="6">
        <v>46042</v>
      </c>
      <c r="G79" s="6">
        <v>46051</v>
      </c>
      <c r="H79" s="10" t="str">
        <f t="shared" ca="1" si="1"/>
        <v>Prazo encerrado</v>
      </c>
      <c r="I79" s="8" t="s">
        <v>71</v>
      </c>
      <c r="J79" s="8"/>
      <c r="K79" s="8" t="s">
        <v>56</v>
      </c>
      <c r="L79" s="8" t="s">
        <v>57</v>
      </c>
      <c r="M79" s="5" t="s">
        <v>125</v>
      </c>
    </row>
    <row r="80" spans="1:13">
      <c r="A80" s="5" t="s">
        <v>98</v>
      </c>
      <c r="C80" s="12" t="s">
        <v>99</v>
      </c>
      <c r="D80" s="5" t="s">
        <v>126</v>
      </c>
      <c r="F80" s="6">
        <v>46042</v>
      </c>
      <c r="G80" s="6">
        <v>46052</v>
      </c>
      <c r="H80" s="10" t="str">
        <f t="shared" ca="1" si="1"/>
        <v>Prazo encerrado</v>
      </c>
      <c r="I80" s="8" t="s">
        <v>71</v>
      </c>
      <c r="J80" s="8"/>
      <c r="K80" s="8" t="s">
        <v>56</v>
      </c>
      <c r="L80" s="8" t="s">
        <v>57</v>
      </c>
      <c r="M80" s="5" t="s">
        <v>125</v>
      </c>
    </row>
    <row r="81" spans="1:13">
      <c r="A81" s="5" t="s">
        <v>98</v>
      </c>
      <c r="C81" s="12" t="s">
        <v>99</v>
      </c>
      <c r="D81" s="5" t="s">
        <v>127</v>
      </c>
      <c r="F81" s="6">
        <v>46042</v>
      </c>
      <c r="G81" s="6">
        <v>46055</v>
      </c>
      <c r="H81" s="10" t="str">
        <f t="shared" ca="1" si="1"/>
        <v>Prazo encerrado</v>
      </c>
      <c r="I81" s="8" t="s">
        <v>71</v>
      </c>
      <c r="J81" s="8"/>
      <c r="K81" s="8" t="s">
        <v>56</v>
      </c>
      <c r="L81" s="8" t="s">
        <v>57</v>
      </c>
      <c r="M81" s="5" t="s">
        <v>125</v>
      </c>
    </row>
    <row r="82" spans="1:13">
      <c r="A82" s="5" t="s">
        <v>98</v>
      </c>
      <c r="C82" s="12" t="s">
        <v>99</v>
      </c>
      <c r="D82" s="5" t="s">
        <v>128</v>
      </c>
      <c r="F82" s="6">
        <v>46042</v>
      </c>
      <c r="G82" s="6">
        <v>46055</v>
      </c>
      <c r="H82" s="10" t="str">
        <f t="shared" ca="1" si="1"/>
        <v>Prazo encerrado</v>
      </c>
      <c r="I82" s="8" t="s">
        <v>71</v>
      </c>
      <c r="J82" s="8"/>
      <c r="K82" s="8" t="s">
        <v>56</v>
      </c>
      <c r="L82" s="8" t="s">
        <v>57</v>
      </c>
      <c r="M82" s="5" t="s">
        <v>125</v>
      </c>
    </row>
    <row r="83" spans="1:13">
      <c r="A83" s="5" t="s">
        <v>98</v>
      </c>
      <c r="C83" s="12" t="s">
        <v>99</v>
      </c>
      <c r="D83" s="5" t="s">
        <v>129</v>
      </c>
      <c r="F83" s="6">
        <v>46042</v>
      </c>
      <c r="G83" s="6">
        <v>46055</v>
      </c>
      <c r="H83" s="10" t="str">
        <f t="shared" ca="1" si="1"/>
        <v>Prazo encerrado</v>
      </c>
      <c r="I83" s="8" t="s">
        <v>71</v>
      </c>
      <c r="J83" s="8"/>
      <c r="K83" s="8" t="s">
        <v>56</v>
      </c>
      <c r="L83" s="8" t="s">
        <v>57</v>
      </c>
      <c r="M83" s="5" t="s">
        <v>125</v>
      </c>
    </row>
    <row r="84" spans="1:13">
      <c r="A84" s="5" t="s">
        <v>98</v>
      </c>
      <c r="C84" s="12" t="s">
        <v>99</v>
      </c>
      <c r="D84" s="5" t="s">
        <v>130</v>
      </c>
      <c r="F84" s="6">
        <v>46042</v>
      </c>
      <c r="G84" s="6">
        <v>46060</v>
      </c>
      <c r="H84" s="10" t="str">
        <f t="shared" ca="1" si="1"/>
        <v>Prazo encerrado</v>
      </c>
      <c r="I84" s="8" t="s">
        <v>71</v>
      </c>
      <c r="J84" s="8"/>
      <c r="K84" s="8" t="s">
        <v>56</v>
      </c>
      <c r="L84" s="8" t="s">
        <v>57</v>
      </c>
      <c r="M84" s="5" t="s">
        <v>131</v>
      </c>
    </row>
    <row r="85" spans="1:13">
      <c r="A85" s="5" t="s">
        <v>98</v>
      </c>
      <c r="C85" s="12" t="s">
        <v>99</v>
      </c>
      <c r="D85" s="5" t="s">
        <v>132</v>
      </c>
      <c r="F85" s="6">
        <v>46042</v>
      </c>
      <c r="G85" s="6">
        <v>46060</v>
      </c>
      <c r="H85" s="10" t="str">
        <f t="shared" ca="1" si="1"/>
        <v>Prazo encerrado</v>
      </c>
      <c r="I85" s="8" t="s">
        <v>71</v>
      </c>
      <c r="J85" s="8"/>
      <c r="K85" s="8" t="s">
        <v>56</v>
      </c>
      <c r="L85" s="8" t="s">
        <v>57</v>
      </c>
      <c r="M85" s="5" t="s">
        <v>131</v>
      </c>
    </row>
    <row r="86" spans="1:13">
      <c r="A86" s="5" t="s">
        <v>98</v>
      </c>
      <c r="C86" s="12" t="s">
        <v>99</v>
      </c>
      <c r="D86" s="5" t="s">
        <v>133</v>
      </c>
      <c r="F86" s="6">
        <v>46042</v>
      </c>
      <c r="G86" s="6">
        <v>46060</v>
      </c>
      <c r="H86" s="10" t="str">
        <f t="shared" ca="1" si="1"/>
        <v>Prazo encerrado</v>
      </c>
      <c r="I86" s="8" t="s">
        <v>71</v>
      </c>
      <c r="J86" s="8"/>
      <c r="K86" s="8" t="s">
        <v>56</v>
      </c>
      <c r="L86" s="8" t="s">
        <v>57</v>
      </c>
      <c r="M86" s="5" t="s">
        <v>131</v>
      </c>
    </row>
    <row r="87" spans="1:13">
      <c r="A87" s="5" t="s">
        <v>98</v>
      </c>
      <c r="C87" s="12" t="s">
        <v>99</v>
      </c>
      <c r="D87" s="5" t="s">
        <v>134</v>
      </c>
      <c r="F87" s="6">
        <v>46042</v>
      </c>
      <c r="G87" s="6">
        <v>46060</v>
      </c>
      <c r="H87" s="10" t="str">
        <f t="shared" ca="1" si="1"/>
        <v>Prazo encerrado</v>
      </c>
      <c r="I87" s="8" t="s">
        <v>71</v>
      </c>
      <c r="J87" s="8"/>
      <c r="K87" s="8" t="s">
        <v>56</v>
      </c>
      <c r="L87" s="8" t="s">
        <v>57</v>
      </c>
      <c r="M87" s="5" t="s">
        <v>131</v>
      </c>
    </row>
    <row r="88" spans="1:13">
      <c r="A88" s="5" t="s">
        <v>98</v>
      </c>
      <c r="C88" s="12" t="s">
        <v>99</v>
      </c>
      <c r="D88" s="5" t="s">
        <v>135</v>
      </c>
      <c r="F88" s="6">
        <v>46042</v>
      </c>
      <c r="G88" s="6">
        <v>46062</v>
      </c>
      <c r="H88" s="10" t="str">
        <f t="shared" ca="1" si="1"/>
        <v>Prazo encerrado</v>
      </c>
      <c r="I88" s="8" t="s">
        <v>71</v>
      </c>
      <c r="J88" s="8"/>
      <c r="K88" s="8" t="s">
        <v>56</v>
      </c>
      <c r="L88" s="8" t="s">
        <v>57</v>
      </c>
      <c r="M88" s="5" t="s">
        <v>131</v>
      </c>
    </row>
    <row r="89" spans="1:13">
      <c r="A89" s="5" t="s">
        <v>98</v>
      </c>
      <c r="C89" s="12" t="s">
        <v>99</v>
      </c>
      <c r="D89" s="5" t="s">
        <v>136</v>
      </c>
      <c r="F89" s="6">
        <v>46042</v>
      </c>
      <c r="G89" s="6">
        <v>46062</v>
      </c>
      <c r="H89" s="10" t="str">
        <f t="shared" ca="1" si="1"/>
        <v>Prazo encerrado</v>
      </c>
      <c r="I89" s="8" t="s">
        <v>71</v>
      </c>
      <c r="J89" s="8"/>
      <c r="K89" s="8" t="s">
        <v>56</v>
      </c>
      <c r="L89" s="8" t="s">
        <v>57</v>
      </c>
      <c r="M89" s="5" t="s">
        <v>131</v>
      </c>
    </row>
    <row r="90" spans="1:13">
      <c r="A90" s="5" t="s">
        <v>98</v>
      </c>
      <c r="C90" s="12" t="s">
        <v>99</v>
      </c>
      <c r="D90" s="5" t="s">
        <v>137</v>
      </c>
      <c r="F90" s="6">
        <v>46042</v>
      </c>
      <c r="G90" s="6">
        <v>46062</v>
      </c>
      <c r="H90" s="10" t="str">
        <f t="shared" ca="1" si="1"/>
        <v>Prazo encerrado</v>
      </c>
      <c r="I90" s="8" t="s">
        <v>71</v>
      </c>
      <c r="J90" s="8"/>
      <c r="K90" s="8" t="s">
        <v>56</v>
      </c>
      <c r="L90" s="8" t="s">
        <v>57</v>
      </c>
      <c r="M90" s="5" t="s">
        <v>131</v>
      </c>
    </row>
    <row r="91" spans="1:13">
      <c r="A91" s="5" t="s">
        <v>98</v>
      </c>
      <c r="C91" s="12" t="s">
        <v>99</v>
      </c>
      <c r="D91" s="5" t="s">
        <v>138</v>
      </c>
      <c r="F91" s="6">
        <v>46042</v>
      </c>
      <c r="G91" s="6">
        <v>46062</v>
      </c>
      <c r="H91" s="10" t="str">
        <f t="shared" ca="1" si="1"/>
        <v>Prazo encerrado</v>
      </c>
      <c r="I91" s="8" t="s">
        <v>71</v>
      </c>
      <c r="J91" s="8"/>
      <c r="K91" s="8" t="s">
        <v>56</v>
      </c>
      <c r="L91" s="8" t="s">
        <v>57</v>
      </c>
      <c r="M91" s="5" t="s">
        <v>131</v>
      </c>
    </row>
    <row r="92" spans="1:13">
      <c r="A92" s="5" t="s">
        <v>98</v>
      </c>
      <c r="C92" s="12" t="s">
        <v>99</v>
      </c>
      <c r="D92" s="5" t="s">
        <v>135</v>
      </c>
      <c r="F92" s="6">
        <v>46042</v>
      </c>
      <c r="G92" s="6">
        <v>46063</v>
      </c>
      <c r="H92" s="10" t="str">
        <f t="shared" ca="1" si="1"/>
        <v>Prazo encerrado</v>
      </c>
      <c r="I92" s="8" t="s">
        <v>71</v>
      </c>
      <c r="J92" s="8"/>
      <c r="K92" s="8" t="s">
        <v>56</v>
      </c>
      <c r="L92" s="8" t="s">
        <v>57</v>
      </c>
      <c r="M92" s="5" t="s">
        <v>131</v>
      </c>
    </row>
    <row r="93" spans="1:13">
      <c r="A93" s="5" t="s">
        <v>98</v>
      </c>
      <c r="C93" s="12" t="s">
        <v>99</v>
      </c>
      <c r="D93" s="5" t="s">
        <v>136</v>
      </c>
      <c r="F93" s="6">
        <v>46042</v>
      </c>
      <c r="G93" s="6">
        <v>46063</v>
      </c>
      <c r="H93" s="10" t="str">
        <f t="shared" ca="1" si="1"/>
        <v>Prazo encerrado</v>
      </c>
      <c r="I93" s="8" t="s">
        <v>71</v>
      </c>
      <c r="J93" s="8"/>
      <c r="K93" s="8" t="s">
        <v>56</v>
      </c>
      <c r="L93" s="8" t="s">
        <v>57</v>
      </c>
      <c r="M93" s="5" t="s">
        <v>131</v>
      </c>
    </row>
    <row r="94" spans="1:13">
      <c r="A94" s="5" t="s">
        <v>98</v>
      </c>
      <c r="C94" s="12" t="s">
        <v>99</v>
      </c>
      <c r="D94" s="5" t="s">
        <v>138</v>
      </c>
      <c r="F94" s="6">
        <v>46042</v>
      </c>
      <c r="G94" s="6">
        <v>46063</v>
      </c>
      <c r="H94" s="10" t="str">
        <f t="shared" ca="1" si="1"/>
        <v>Prazo encerrado</v>
      </c>
      <c r="I94" s="8" t="s">
        <v>71</v>
      </c>
      <c r="J94" s="8"/>
      <c r="K94" s="8" t="s">
        <v>56</v>
      </c>
      <c r="L94" s="8" t="s">
        <v>57</v>
      </c>
      <c r="M94" s="5" t="s">
        <v>131</v>
      </c>
    </row>
    <row r="95" spans="1:13">
      <c r="A95" s="5" t="s">
        <v>98</v>
      </c>
      <c r="C95" s="12" t="s">
        <v>99</v>
      </c>
      <c r="D95" s="5" t="s">
        <v>139</v>
      </c>
      <c r="F95" s="6">
        <v>46042</v>
      </c>
      <c r="G95" s="6">
        <v>46064</v>
      </c>
      <c r="H95" s="10">
        <f t="shared" ca="1" si="1"/>
        <v>1</v>
      </c>
      <c r="I95" s="8" t="s">
        <v>71</v>
      </c>
      <c r="J95" s="8"/>
      <c r="K95" s="8" t="s">
        <v>56</v>
      </c>
      <c r="L95" s="8" t="s">
        <v>57</v>
      </c>
      <c r="M95" s="5" t="s">
        <v>131</v>
      </c>
    </row>
    <row r="96" spans="1:13">
      <c r="A96" s="5" t="s">
        <v>98</v>
      </c>
      <c r="C96" s="12" t="s">
        <v>99</v>
      </c>
      <c r="D96" s="5" t="s">
        <v>140</v>
      </c>
      <c r="F96" s="6">
        <v>46042</v>
      </c>
      <c r="G96" s="6">
        <v>46064</v>
      </c>
      <c r="H96" s="10">
        <f t="shared" ca="1" si="1"/>
        <v>1</v>
      </c>
      <c r="I96" s="8" t="s">
        <v>71</v>
      </c>
      <c r="J96" s="8"/>
      <c r="K96" s="8" t="s">
        <v>56</v>
      </c>
      <c r="L96" s="8" t="s">
        <v>57</v>
      </c>
      <c r="M96" s="5" t="s">
        <v>131</v>
      </c>
    </row>
    <row r="97" spans="1:13">
      <c r="A97" s="5" t="s">
        <v>98</v>
      </c>
      <c r="C97" s="12" t="s">
        <v>99</v>
      </c>
      <c r="D97" s="5" t="s">
        <v>141</v>
      </c>
      <c r="F97" s="6">
        <v>46042</v>
      </c>
      <c r="G97" s="6">
        <v>46064</v>
      </c>
      <c r="H97" s="10">
        <f t="shared" ca="1" si="1"/>
        <v>1</v>
      </c>
      <c r="I97" s="8" t="s">
        <v>71</v>
      </c>
      <c r="J97" s="8"/>
      <c r="K97" s="8" t="s">
        <v>56</v>
      </c>
      <c r="L97" s="8" t="s">
        <v>57</v>
      </c>
      <c r="M97" s="5" t="s">
        <v>131</v>
      </c>
    </row>
    <row r="98" spans="1:13">
      <c r="A98" s="5" t="s">
        <v>98</v>
      </c>
      <c r="C98" s="12" t="s">
        <v>99</v>
      </c>
      <c r="D98" s="5" t="s">
        <v>142</v>
      </c>
      <c r="F98" s="6">
        <v>46042</v>
      </c>
      <c r="G98" s="6">
        <v>46064</v>
      </c>
      <c r="H98" s="10">
        <f t="shared" ca="1" si="1"/>
        <v>1</v>
      </c>
      <c r="I98" s="8" t="s">
        <v>71</v>
      </c>
      <c r="J98" s="8"/>
      <c r="K98" s="8" t="s">
        <v>56</v>
      </c>
      <c r="L98" s="8" t="s">
        <v>57</v>
      </c>
      <c r="M98" s="5" t="s">
        <v>131</v>
      </c>
    </row>
    <row r="99" spans="1:13">
      <c r="A99" s="5" t="s">
        <v>98</v>
      </c>
      <c r="C99" s="12" t="s">
        <v>99</v>
      </c>
      <c r="D99" s="5" t="s">
        <v>143</v>
      </c>
      <c r="F99" s="6">
        <v>46042</v>
      </c>
      <c r="G99" s="6">
        <v>46065</v>
      </c>
      <c r="H99" s="10">
        <f t="shared" ca="1" si="1"/>
        <v>2</v>
      </c>
      <c r="I99" s="8" t="s">
        <v>71</v>
      </c>
      <c r="J99" s="8"/>
      <c r="K99" s="8" t="s">
        <v>56</v>
      </c>
      <c r="L99" s="8" t="s">
        <v>57</v>
      </c>
      <c r="M99" s="5" t="s">
        <v>131</v>
      </c>
    </row>
    <row r="100" spans="1:13">
      <c r="A100" s="5" t="s">
        <v>98</v>
      </c>
      <c r="C100" s="12" t="s">
        <v>99</v>
      </c>
      <c r="D100" s="5" t="s">
        <v>144</v>
      </c>
      <c r="F100" s="6">
        <v>46042</v>
      </c>
      <c r="G100" s="6">
        <v>46065</v>
      </c>
      <c r="H100" s="10">
        <f t="shared" ca="1" si="1"/>
        <v>2</v>
      </c>
      <c r="I100" s="8" t="s">
        <v>71</v>
      </c>
      <c r="J100" s="8"/>
      <c r="K100" s="8" t="s">
        <v>56</v>
      </c>
      <c r="L100" s="8" t="s">
        <v>57</v>
      </c>
      <c r="M100" s="5" t="s">
        <v>131</v>
      </c>
    </row>
    <row r="101" spans="1:13">
      <c r="A101" s="5" t="s">
        <v>98</v>
      </c>
      <c r="C101" s="12" t="s">
        <v>99</v>
      </c>
      <c r="D101" s="5" t="s">
        <v>145</v>
      </c>
      <c r="F101" s="6">
        <v>46042</v>
      </c>
      <c r="G101" s="6">
        <v>46065</v>
      </c>
      <c r="H101" s="10">
        <f t="shared" ca="1" si="1"/>
        <v>2</v>
      </c>
      <c r="I101" s="8" t="s">
        <v>71</v>
      </c>
      <c r="J101" s="8"/>
      <c r="K101" s="8" t="s">
        <v>56</v>
      </c>
      <c r="L101" s="8" t="s">
        <v>57</v>
      </c>
      <c r="M101" s="5" t="s">
        <v>131</v>
      </c>
    </row>
    <row r="102" spans="1:13">
      <c r="A102" s="5" t="s">
        <v>98</v>
      </c>
      <c r="C102" s="12" t="s">
        <v>99</v>
      </c>
      <c r="D102" s="5" t="s">
        <v>146</v>
      </c>
      <c r="F102" s="6">
        <v>46042</v>
      </c>
      <c r="G102" s="6">
        <v>46065</v>
      </c>
      <c r="H102" s="10">
        <f t="shared" ca="1" si="1"/>
        <v>2</v>
      </c>
      <c r="I102" s="8" t="s">
        <v>71</v>
      </c>
      <c r="J102" s="8"/>
      <c r="K102" s="8" t="s">
        <v>56</v>
      </c>
      <c r="L102" s="8" t="s">
        <v>57</v>
      </c>
      <c r="M102" s="5" t="s">
        <v>131</v>
      </c>
    </row>
    <row r="103" spans="1:13">
      <c r="A103" s="5" t="s">
        <v>98</v>
      </c>
      <c r="C103" s="12" t="s">
        <v>99</v>
      </c>
      <c r="D103" s="5" t="s">
        <v>147</v>
      </c>
      <c r="F103" s="6">
        <v>46050</v>
      </c>
      <c r="G103" s="6">
        <v>46056</v>
      </c>
      <c r="H103" s="10" t="str">
        <f ca="1">IF(INT(G103-TODAY())&lt;=0,"Prazo encerrado",INT(G103-TODAY()))</f>
        <v>Prazo encerrado</v>
      </c>
      <c r="I103" s="8" t="s">
        <v>71</v>
      </c>
      <c r="J103" s="8"/>
      <c r="K103" s="8" t="s">
        <v>18</v>
      </c>
      <c r="L103" s="8" t="s">
        <v>87</v>
      </c>
      <c r="M103" s="5" t="s">
        <v>148</v>
      </c>
    </row>
    <row r="104" spans="1:13">
      <c r="A104" s="5" t="s">
        <v>98</v>
      </c>
      <c r="C104" s="12" t="s">
        <v>99</v>
      </c>
      <c r="D104" s="5" t="s">
        <v>149</v>
      </c>
      <c r="F104" s="6">
        <v>46050</v>
      </c>
      <c r="G104" s="6">
        <v>46063</v>
      </c>
      <c r="H104" s="10" t="str">
        <f ca="1">IF(INT(G104-TODAY())&lt;=0,"Prazo encerrado",INT(G104-TODAY()))</f>
        <v>Prazo encerrado</v>
      </c>
      <c r="I104" s="8" t="s">
        <v>71</v>
      </c>
      <c r="J104" s="8"/>
      <c r="K104" s="8" t="s">
        <v>56</v>
      </c>
      <c r="L104" s="8" t="s">
        <v>87</v>
      </c>
      <c r="M104" s="5" t="s">
        <v>150</v>
      </c>
    </row>
    <row r="105" spans="1:13">
      <c r="A105" s="5" t="s">
        <v>98</v>
      </c>
      <c r="C105" s="12" t="s">
        <v>99</v>
      </c>
      <c r="D105" s="5" t="s">
        <v>151</v>
      </c>
      <c r="F105" s="6">
        <v>46050</v>
      </c>
      <c r="G105" s="6">
        <v>46063</v>
      </c>
      <c r="H105" s="10" t="str">
        <f ca="1">IF(INT(G105-TODAY())&lt;=0,"Prazo encerrado",INT(G105-TODAY()))</f>
        <v>Prazo encerrado</v>
      </c>
      <c r="I105" s="8" t="s">
        <v>71</v>
      </c>
      <c r="J105" s="8"/>
      <c r="K105" s="8" t="s">
        <v>56</v>
      </c>
      <c r="L105" s="8" t="s">
        <v>87</v>
      </c>
      <c r="M105" s="5" t="s">
        <v>152</v>
      </c>
    </row>
    <row r="106" spans="1:13">
      <c r="A106" s="5" t="s">
        <v>98</v>
      </c>
      <c r="C106" s="12" t="s">
        <v>99</v>
      </c>
      <c r="D106" s="5" t="s">
        <v>153</v>
      </c>
      <c r="F106" s="6">
        <v>46050</v>
      </c>
      <c r="G106" s="6">
        <v>46063</v>
      </c>
      <c r="H106" s="10" t="str">
        <f ca="1">IF(INT(G106-TODAY())&lt;=0,"Prazo encerrado",INT(G106-TODAY()))</f>
        <v>Prazo encerrado</v>
      </c>
      <c r="I106" s="8" t="s">
        <v>71</v>
      </c>
      <c r="J106" s="8"/>
      <c r="K106" s="8" t="s">
        <v>56</v>
      </c>
      <c r="L106" s="8" t="s">
        <v>57</v>
      </c>
    </row>
    <row r="107" spans="1:13">
      <c r="A107" s="5" t="s">
        <v>98</v>
      </c>
      <c r="C107" s="12" t="s">
        <v>99</v>
      </c>
      <c r="D107" s="5" t="s">
        <v>154</v>
      </c>
      <c r="F107" s="6">
        <v>46050</v>
      </c>
      <c r="G107" s="6">
        <v>46091</v>
      </c>
      <c r="H107" s="10">
        <f ca="1">IF(INT(G107-TODAY())&lt;=0,"Prazo encerrado",INT(G107-TODAY()))</f>
        <v>28</v>
      </c>
      <c r="I107" s="8" t="s">
        <v>71</v>
      </c>
      <c r="J107" s="8"/>
      <c r="K107" s="8" t="s">
        <v>56</v>
      </c>
      <c r="L107" s="8" t="s">
        <v>57</v>
      </c>
    </row>
    <row r="108" spans="1:13">
      <c r="A108" s="5" t="s">
        <v>98</v>
      </c>
      <c r="C108" s="12" t="s">
        <v>99</v>
      </c>
      <c r="D108" s="5" t="s">
        <v>155</v>
      </c>
      <c r="F108" s="6">
        <v>46052</v>
      </c>
      <c r="G108" s="6">
        <v>46052</v>
      </c>
      <c r="H108" s="10" t="str">
        <f t="shared" ca="1" si="1"/>
        <v>Prazo encerrado</v>
      </c>
      <c r="I108" s="8" t="s">
        <v>71</v>
      </c>
      <c r="J108" s="8"/>
      <c r="K108" s="8" t="s">
        <v>56</v>
      </c>
      <c r="L108" s="8" t="s">
        <v>57</v>
      </c>
      <c r="M108" s="5" t="s">
        <v>156</v>
      </c>
    </row>
    <row r="109" spans="1:13">
      <c r="A109" s="5" t="s">
        <v>98</v>
      </c>
      <c r="C109" s="12" t="s">
        <v>99</v>
      </c>
      <c r="D109" s="5" t="s">
        <v>157</v>
      </c>
      <c r="F109" s="6">
        <v>46052</v>
      </c>
      <c r="G109" s="6">
        <v>46052</v>
      </c>
      <c r="H109" s="10" t="str">
        <f t="shared" ref="H109:H125" ca="1" si="2">IF(INT(G109-TODAY())&lt;=0,"Prazo encerrado",INT(G109-TODAY()))</f>
        <v>Prazo encerrado</v>
      </c>
      <c r="I109" s="8" t="s">
        <v>71</v>
      </c>
      <c r="J109" s="8"/>
      <c r="K109" s="8" t="s">
        <v>56</v>
      </c>
      <c r="L109" s="8" t="s">
        <v>57</v>
      </c>
      <c r="M109" s="5" t="s">
        <v>156</v>
      </c>
    </row>
    <row r="110" spans="1:13">
      <c r="A110" s="5" t="s">
        <v>98</v>
      </c>
      <c r="C110" s="12" t="s">
        <v>99</v>
      </c>
      <c r="D110" s="5" t="s">
        <v>158</v>
      </c>
      <c r="F110" s="6">
        <v>46052</v>
      </c>
      <c r="G110" s="6">
        <v>46052</v>
      </c>
      <c r="H110" s="10" t="str">
        <f t="shared" ca="1" si="2"/>
        <v>Prazo encerrado</v>
      </c>
      <c r="I110" s="8" t="s">
        <v>71</v>
      </c>
      <c r="J110" s="8"/>
      <c r="K110" s="8" t="s">
        <v>56</v>
      </c>
      <c r="L110" s="8" t="s">
        <v>57</v>
      </c>
      <c r="M110" s="5" t="s">
        <v>156</v>
      </c>
    </row>
    <row r="111" spans="1:13">
      <c r="A111" s="5" t="s">
        <v>98</v>
      </c>
      <c r="C111" s="12" t="s">
        <v>99</v>
      </c>
      <c r="D111" s="5" t="s">
        <v>159</v>
      </c>
      <c r="F111" s="6">
        <v>46052</v>
      </c>
      <c r="G111" s="6">
        <v>46052</v>
      </c>
      <c r="H111" s="10" t="str">
        <f t="shared" ca="1" si="2"/>
        <v>Prazo encerrado</v>
      </c>
      <c r="I111" s="8" t="s">
        <v>71</v>
      </c>
      <c r="J111" s="8"/>
      <c r="K111" s="8" t="s">
        <v>56</v>
      </c>
      <c r="L111" s="8" t="s">
        <v>57</v>
      </c>
      <c r="M111" s="5" t="s">
        <v>156</v>
      </c>
    </row>
    <row r="112" spans="1:13">
      <c r="A112" s="5" t="s">
        <v>98</v>
      </c>
      <c r="C112" s="12" t="s">
        <v>99</v>
      </c>
      <c r="D112" s="5" t="s">
        <v>160</v>
      </c>
      <c r="F112" s="6">
        <v>46052</v>
      </c>
      <c r="G112" s="6">
        <v>46052</v>
      </c>
      <c r="H112" s="10" t="str">
        <f t="shared" ca="1" si="2"/>
        <v>Prazo encerrado</v>
      </c>
      <c r="I112" s="8" t="s">
        <v>71</v>
      </c>
      <c r="J112" s="8"/>
      <c r="K112" s="8" t="s">
        <v>56</v>
      </c>
      <c r="L112" s="8" t="s">
        <v>57</v>
      </c>
      <c r="M112" s="5" t="s">
        <v>156</v>
      </c>
    </row>
    <row r="113" spans="1:13">
      <c r="A113" s="5" t="s">
        <v>98</v>
      </c>
      <c r="C113" s="12" t="s">
        <v>99</v>
      </c>
      <c r="D113" s="5" t="s">
        <v>161</v>
      </c>
      <c r="F113" s="6">
        <v>46052</v>
      </c>
      <c r="G113" s="6">
        <v>46052</v>
      </c>
      <c r="H113" s="10" t="str">
        <f t="shared" ca="1" si="2"/>
        <v>Prazo encerrado</v>
      </c>
      <c r="I113" s="8" t="s">
        <v>71</v>
      </c>
      <c r="J113" s="8"/>
      <c r="K113" s="8" t="s">
        <v>56</v>
      </c>
      <c r="L113" s="8" t="s">
        <v>57</v>
      </c>
      <c r="M113" s="5" t="s">
        <v>156</v>
      </c>
    </row>
    <row r="114" spans="1:13">
      <c r="A114" s="5" t="s">
        <v>98</v>
      </c>
      <c r="C114" s="12" t="s">
        <v>99</v>
      </c>
      <c r="D114" s="5" t="s">
        <v>162</v>
      </c>
      <c r="F114" s="6">
        <v>46052</v>
      </c>
      <c r="G114" s="6">
        <v>46052</v>
      </c>
      <c r="H114" s="10" t="str">
        <f t="shared" ca="1" si="2"/>
        <v>Prazo encerrado</v>
      </c>
      <c r="I114" s="8" t="s">
        <v>71</v>
      </c>
      <c r="J114" s="8"/>
      <c r="K114" s="8" t="s">
        <v>56</v>
      </c>
      <c r="L114" s="8" t="s">
        <v>57</v>
      </c>
      <c r="M114" s="5" t="s">
        <v>156</v>
      </c>
    </row>
    <row r="115" spans="1:13">
      <c r="A115" s="5" t="s">
        <v>98</v>
      </c>
      <c r="C115" s="12" t="s">
        <v>99</v>
      </c>
      <c r="D115" s="5" t="s">
        <v>163</v>
      </c>
      <c r="F115" s="6">
        <v>46052</v>
      </c>
      <c r="G115" s="6">
        <v>46052</v>
      </c>
      <c r="H115" s="10" t="str">
        <f t="shared" ca="1" si="2"/>
        <v>Prazo encerrado</v>
      </c>
      <c r="I115" s="8" t="s">
        <v>71</v>
      </c>
      <c r="J115" s="8"/>
      <c r="K115" s="8" t="s">
        <v>56</v>
      </c>
      <c r="L115" s="8" t="s">
        <v>57</v>
      </c>
      <c r="M115" s="5" t="s">
        <v>156</v>
      </c>
    </row>
    <row r="116" spans="1:13">
      <c r="A116" s="5" t="s">
        <v>98</v>
      </c>
      <c r="C116" s="12" t="s">
        <v>99</v>
      </c>
      <c r="D116" s="5" t="s">
        <v>164</v>
      </c>
      <c r="F116" s="6">
        <v>46052</v>
      </c>
      <c r="G116" s="6">
        <v>46052</v>
      </c>
      <c r="H116" s="10" t="str">
        <f t="shared" ca="1" si="2"/>
        <v>Prazo encerrado</v>
      </c>
      <c r="I116" s="8" t="s">
        <v>71</v>
      </c>
      <c r="J116" s="8"/>
      <c r="K116" s="8" t="s">
        <v>56</v>
      </c>
      <c r="L116" s="8" t="s">
        <v>57</v>
      </c>
      <c r="M116" s="5" t="s">
        <v>156</v>
      </c>
    </row>
    <row r="117" spans="1:13">
      <c r="A117" s="5" t="s">
        <v>98</v>
      </c>
      <c r="C117" s="12" t="s">
        <v>99</v>
      </c>
      <c r="D117" s="5" t="s">
        <v>165</v>
      </c>
      <c r="F117" s="6">
        <v>46052</v>
      </c>
      <c r="G117" s="6">
        <v>46052</v>
      </c>
      <c r="H117" s="10" t="str">
        <f t="shared" ca="1" si="2"/>
        <v>Prazo encerrado</v>
      </c>
      <c r="I117" s="8" t="s">
        <v>71</v>
      </c>
      <c r="J117" s="8"/>
      <c r="K117" s="8" t="s">
        <v>56</v>
      </c>
      <c r="L117" s="8" t="s">
        <v>57</v>
      </c>
      <c r="M117" s="5" t="s">
        <v>156</v>
      </c>
    </row>
    <row r="118" spans="1:13">
      <c r="A118" s="5" t="s">
        <v>98</v>
      </c>
      <c r="C118" s="12" t="s">
        <v>99</v>
      </c>
      <c r="D118" s="5" t="s">
        <v>166</v>
      </c>
      <c r="F118" s="6">
        <v>46052</v>
      </c>
      <c r="G118" s="6">
        <v>46052</v>
      </c>
      <c r="H118" s="10" t="str">
        <f t="shared" ca="1" si="2"/>
        <v>Prazo encerrado</v>
      </c>
      <c r="I118" s="8" t="s">
        <v>71</v>
      </c>
      <c r="J118" s="8"/>
      <c r="K118" s="8" t="s">
        <v>56</v>
      </c>
      <c r="L118" s="8" t="s">
        <v>57</v>
      </c>
      <c r="M118" s="5" t="s">
        <v>156</v>
      </c>
    </row>
    <row r="119" spans="1:13">
      <c r="A119" s="5" t="s">
        <v>98</v>
      </c>
      <c r="C119" s="12" t="s">
        <v>99</v>
      </c>
      <c r="D119" s="5" t="s">
        <v>167</v>
      </c>
      <c r="F119" s="6">
        <v>46052</v>
      </c>
      <c r="G119" s="6">
        <v>46052</v>
      </c>
      <c r="H119" s="10" t="str">
        <f t="shared" ca="1" si="2"/>
        <v>Prazo encerrado</v>
      </c>
      <c r="I119" s="8" t="s">
        <v>71</v>
      </c>
      <c r="J119" s="8"/>
      <c r="K119" s="8" t="s">
        <v>56</v>
      </c>
      <c r="L119" s="8" t="s">
        <v>57</v>
      </c>
      <c r="M119" s="5" t="s">
        <v>156</v>
      </c>
    </row>
    <row r="120" spans="1:13">
      <c r="A120" s="5" t="s">
        <v>98</v>
      </c>
      <c r="C120" s="12" t="s">
        <v>99</v>
      </c>
      <c r="D120" s="5" t="s">
        <v>168</v>
      </c>
      <c r="F120" s="6">
        <v>46052</v>
      </c>
      <c r="G120" s="6">
        <v>46052</v>
      </c>
      <c r="H120" s="10" t="str">
        <f t="shared" ca="1" si="2"/>
        <v>Prazo encerrado</v>
      </c>
      <c r="I120" s="8" t="s">
        <v>71</v>
      </c>
      <c r="J120" s="8"/>
      <c r="K120" s="8" t="s">
        <v>56</v>
      </c>
      <c r="L120" s="8" t="s">
        <v>57</v>
      </c>
      <c r="M120" s="5" t="s">
        <v>156</v>
      </c>
    </row>
    <row r="121" spans="1:13">
      <c r="A121" s="5" t="s">
        <v>98</v>
      </c>
      <c r="C121" s="12" t="s">
        <v>99</v>
      </c>
      <c r="D121" s="5" t="s">
        <v>169</v>
      </c>
      <c r="F121" s="6">
        <v>46052</v>
      </c>
      <c r="G121" s="6">
        <v>46052</v>
      </c>
      <c r="H121" s="10" t="str">
        <f t="shared" ca="1" si="2"/>
        <v>Prazo encerrado</v>
      </c>
      <c r="I121" s="8" t="s">
        <v>71</v>
      </c>
      <c r="J121" s="8"/>
      <c r="K121" s="8" t="s">
        <v>56</v>
      </c>
      <c r="L121" s="8" t="s">
        <v>57</v>
      </c>
      <c r="M121" s="5" t="s">
        <v>156</v>
      </c>
    </row>
    <row r="122" spans="1:13">
      <c r="A122" s="5" t="s">
        <v>98</v>
      </c>
      <c r="C122" s="12" t="s">
        <v>99</v>
      </c>
      <c r="D122" s="5" t="s">
        <v>170</v>
      </c>
      <c r="F122" s="6">
        <v>46052</v>
      </c>
      <c r="G122" s="6">
        <v>46052</v>
      </c>
      <c r="H122" s="10" t="str">
        <f t="shared" ca="1" si="2"/>
        <v>Prazo encerrado</v>
      </c>
      <c r="I122" s="8" t="s">
        <v>71</v>
      </c>
      <c r="J122" s="8"/>
      <c r="K122" s="8" t="s">
        <v>56</v>
      </c>
      <c r="L122" s="8" t="s">
        <v>57</v>
      </c>
      <c r="M122" s="5" t="s">
        <v>156</v>
      </c>
    </row>
    <row r="123" spans="1:13">
      <c r="A123" s="5" t="s">
        <v>98</v>
      </c>
      <c r="C123" s="12" t="s">
        <v>99</v>
      </c>
      <c r="D123" s="5" t="s">
        <v>171</v>
      </c>
      <c r="F123" s="6">
        <v>46052</v>
      </c>
      <c r="G123" s="6">
        <v>46052</v>
      </c>
      <c r="H123" s="10" t="str">
        <f t="shared" ca="1" si="2"/>
        <v>Prazo encerrado</v>
      </c>
      <c r="I123" s="8" t="s">
        <v>71</v>
      </c>
      <c r="J123" s="8"/>
      <c r="K123" s="8" t="s">
        <v>56</v>
      </c>
      <c r="L123" s="8" t="s">
        <v>57</v>
      </c>
      <c r="M123" s="5" t="s">
        <v>156</v>
      </c>
    </row>
    <row r="124" spans="1:13">
      <c r="A124" s="5" t="s">
        <v>98</v>
      </c>
      <c r="C124" s="12" t="s">
        <v>99</v>
      </c>
      <c r="D124" s="5" t="s">
        <v>172</v>
      </c>
      <c r="F124" s="6">
        <v>46052</v>
      </c>
      <c r="G124" s="6">
        <v>46052</v>
      </c>
      <c r="H124" s="10" t="str">
        <f t="shared" ca="1" si="2"/>
        <v>Prazo encerrado</v>
      </c>
      <c r="I124" s="8" t="s">
        <v>71</v>
      </c>
      <c r="J124" s="8"/>
      <c r="K124" s="8" t="s">
        <v>56</v>
      </c>
      <c r="L124" s="8" t="s">
        <v>57</v>
      </c>
      <c r="M124" s="5" t="s">
        <v>156</v>
      </c>
    </row>
    <row r="125" spans="1:13">
      <c r="A125" s="5" t="s">
        <v>98</v>
      </c>
      <c r="C125" s="12" t="s">
        <v>99</v>
      </c>
      <c r="D125" s="5" t="s">
        <v>173</v>
      </c>
      <c r="F125" s="6">
        <v>46052</v>
      </c>
      <c r="G125" s="6">
        <v>46052</v>
      </c>
      <c r="H125" s="10" t="str">
        <f t="shared" ca="1" si="2"/>
        <v>Prazo encerrado</v>
      </c>
      <c r="I125" s="8" t="s">
        <v>71</v>
      </c>
      <c r="J125" s="8"/>
      <c r="K125" s="8" t="s">
        <v>56</v>
      </c>
      <c r="L125" s="8" t="s">
        <v>57</v>
      </c>
      <c r="M125" s="5" t="s">
        <v>156</v>
      </c>
    </row>
    <row r="126" spans="1:13">
      <c r="A126" s="5" t="s">
        <v>98</v>
      </c>
      <c r="C126" s="12" t="s">
        <v>99</v>
      </c>
      <c r="D126" s="5" t="s">
        <v>174</v>
      </c>
      <c r="F126" s="6">
        <v>46052</v>
      </c>
      <c r="G126" s="6">
        <v>46052</v>
      </c>
      <c r="H126" s="10" t="str">
        <f t="shared" ref="H126:H155" ca="1" si="3">IF(INT(G126-TODAY())&lt;=0,"Prazo encerrado",INT(G126-TODAY()))</f>
        <v>Prazo encerrado</v>
      </c>
      <c r="I126" s="8" t="s">
        <v>71</v>
      </c>
      <c r="J126" s="8"/>
      <c r="K126" s="8" t="s">
        <v>56</v>
      </c>
      <c r="L126" s="8" t="s">
        <v>57</v>
      </c>
      <c r="M126" s="5" t="s">
        <v>156</v>
      </c>
    </row>
    <row r="127" spans="1:13">
      <c r="A127" s="5" t="s">
        <v>98</v>
      </c>
      <c r="C127" s="12" t="s">
        <v>99</v>
      </c>
      <c r="D127" s="5" t="s">
        <v>175</v>
      </c>
      <c r="F127" s="6">
        <v>46052</v>
      </c>
      <c r="G127" s="6">
        <v>46052</v>
      </c>
      <c r="H127" s="10" t="str">
        <f t="shared" ca="1" si="3"/>
        <v>Prazo encerrado</v>
      </c>
      <c r="I127" s="8" t="s">
        <v>71</v>
      </c>
      <c r="J127" s="8"/>
      <c r="K127" s="8" t="s">
        <v>56</v>
      </c>
      <c r="L127" s="8" t="s">
        <v>57</v>
      </c>
      <c r="M127" s="5" t="s">
        <v>156</v>
      </c>
    </row>
    <row r="128" spans="1:13">
      <c r="A128" s="5" t="s">
        <v>98</v>
      </c>
      <c r="C128" s="12" t="s">
        <v>99</v>
      </c>
      <c r="D128" s="14" t="s">
        <v>176</v>
      </c>
      <c r="E128" s="14"/>
      <c r="F128" s="6">
        <v>46052</v>
      </c>
      <c r="G128" s="6">
        <v>46052</v>
      </c>
      <c r="H128" s="10" t="str">
        <f t="shared" ca="1" si="3"/>
        <v>Prazo encerrado</v>
      </c>
      <c r="I128" s="8" t="s">
        <v>71</v>
      </c>
      <c r="J128" s="8"/>
      <c r="K128" s="8" t="s">
        <v>56</v>
      </c>
      <c r="L128" s="8" t="s">
        <v>57</v>
      </c>
      <c r="M128" s="5" t="s">
        <v>156</v>
      </c>
    </row>
    <row r="129" spans="1:13">
      <c r="A129" s="5" t="s">
        <v>98</v>
      </c>
      <c r="C129" s="12" t="s">
        <v>99</v>
      </c>
      <c r="D129" s="5" t="s">
        <v>177</v>
      </c>
      <c r="F129" s="6">
        <v>46052</v>
      </c>
      <c r="G129" s="6">
        <v>46052</v>
      </c>
      <c r="H129" s="10" t="str">
        <f t="shared" ca="1" si="3"/>
        <v>Prazo encerrado</v>
      </c>
      <c r="I129" s="8" t="s">
        <v>71</v>
      </c>
      <c r="J129" s="8"/>
      <c r="K129" s="8" t="s">
        <v>56</v>
      </c>
      <c r="L129" s="8" t="s">
        <v>57</v>
      </c>
      <c r="M129" s="5" t="s">
        <v>156</v>
      </c>
    </row>
    <row r="130" spans="1:13">
      <c r="A130" s="5" t="s">
        <v>98</v>
      </c>
      <c r="C130" s="12" t="s">
        <v>99</v>
      </c>
      <c r="D130" s="5" t="s">
        <v>178</v>
      </c>
      <c r="F130" s="6">
        <v>46052</v>
      </c>
      <c r="G130" s="6">
        <v>46052</v>
      </c>
      <c r="H130" s="10" t="str">
        <f t="shared" ca="1" si="3"/>
        <v>Prazo encerrado</v>
      </c>
      <c r="I130" s="8" t="s">
        <v>71</v>
      </c>
      <c r="J130" s="8"/>
      <c r="K130" s="8" t="s">
        <v>56</v>
      </c>
      <c r="L130" s="8" t="s">
        <v>57</v>
      </c>
    </row>
    <row r="131" spans="1:13">
      <c r="A131" s="5" t="s">
        <v>98</v>
      </c>
      <c r="C131" s="12" t="s">
        <v>99</v>
      </c>
      <c r="D131" s="5" t="s">
        <v>179</v>
      </c>
      <c r="F131" s="6">
        <v>46052</v>
      </c>
      <c r="G131" s="6">
        <v>46066</v>
      </c>
      <c r="H131" s="10">
        <f t="shared" ca="1" si="3"/>
        <v>3</v>
      </c>
      <c r="I131" s="8" t="s">
        <v>71</v>
      </c>
      <c r="J131" s="8"/>
      <c r="K131" s="8" t="s">
        <v>56</v>
      </c>
      <c r="L131" s="8" t="s">
        <v>57</v>
      </c>
    </row>
    <row r="132" spans="1:13">
      <c r="A132" s="5" t="s">
        <v>98</v>
      </c>
      <c r="C132" s="12" t="s">
        <v>180</v>
      </c>
      <c r="D132" s="5" t="s">
        <v>181</v>
      </c>
      <c r="F132" s="6">
        <v>46030</v>
      </c>
      <c r="G132" s="6">
        <v>46041</v>
      </c>
      <c r="H132" s="10" t="str">
        <f t="shared" ca="1" si="3"/>
        <v>Prazo encerrado</v>
      </c>
      <c r="I132" s="8" t="s">
        <v>71</v>
      </c>
      <c r="J132" s="8"/>
      <c r="K132" s="8" t="s">
        <v>18</v>
      </c>
      <c r="L132" s="8" t="s">
        <v>19</v>
      </c>
      <c r="M132" s="5" t="s">
        <v>182</v>
      </c>
    </row>
    <row r="133" spans="1:13">
      <c r="A133" s="5" t="s">
        <v>98</v>
      </c>
      <c r="C133" s="12" t="s">
        <v>180</v>
      </c>
      <c r="D133" s="5" t="s">
        <v>183</v>
      </c>
      <c r="F133" s="6">
        <v>46030</v>
      </c>
      <c r="G133" s="6">
        <v>46041</v>
      </c>
      <c r="H133" s="10" t="str">
        <f t="shared" ca="1" si="3"/>
        <v>Prazo encerrado</v>
      </c>
      <c r="I133" s="8" t="s">
        <v>71</v>
      </c>
      <c r="J133" s="8"/>
      <c r="K133" s="8" t="s">
        <v>18</v>
      </c>
      <c r="L133" s="8" t="s">
        <v>19</v>
      </c>
      <c r="M133" s="5" t="s">
        <v>184</v>
      </c>
    </row>
    <row r="134" spans="1:13">
      <c r="A134" s="5" t="s">
        <v>98</v>
      </c>
      <c r="C134" s="12" t="s">
        <v>180</v>
      </c>
      <c r="D134" s="5" t="s">
        <v>185</v>
      </c>
      <c r="F134" s="6">
        <v>46030</v>
      </c>
      <c r="G134" s="6">
        <v>46052</v>
      </c>
      <c r="H134" s="10" t="str">
        <f t="shared" ca="1" si="3"/>
        <v>Prazo encerrado</v>
      </c>
      <c r="I134" s="8" t="s">
        <v>71</v>
      </c>
      <c r="J134" s="8"/>
      <c r="K134" s="8" t="s">
        <v>18</v>
      </c>
      <c r="L134" s="8" t="s">
        <v>19</v>
      </c>
      <c r="M134" s="5" t="s">
        <v>186</v>
      </c>
    </row>
    <row r="135" spans="1:13">
      <c r="A135" s="5" t="s">
        <v>98</v>
      </c>
      <c r="C135" s="12" t="s">
        <v>180</v>
      </c>
      <c r="D135" s="5" t="s">
        <v>187</v>
      </c>
      <c r="F135" s="6">
        <v>46030</v>
      </c>
      <c r="G135" s="6">
        <v>46063</v>
      </c>
      <c r="H135" s="10" t="str">
        <f t="shared" ca="1" si="3"/>
        <v>Prazo encerrado</v>
      </c>
      <c r="I135" s="8" t="s">
        <v>71</v>
      </c>
      <c r="J135" s="8"/>
      <c r="K135" s="8" t="s">
        <v>18</v>
      </c>
      <c r="L135" s="8" t="s">
        <v>19</v>
      </c>
      <c r="M135" s="5" t="s">
        <v>188</v>
      </c>
    </row>
    <row r="136" spans="1:13">
      <c r="A136" s="5" t="s">
        <v>98</v>
      </c>
      <c r="C136" s="12" t="s">
        <v>180</v>
      </c>
      <c r="D136" s="5" t="s">
        <v>189</v>
      </c>
      <c r="F136" s="6">
        <v>46030</v>
      </c>
      <c r="G136" s="6">
        <v>46052</v>
      </c>
      <c r="H136" s="10" t="str">
        <f t="shared" ca="1" si="3"/>
        <v>Prazo encerrado</v>
      </c>
      <c r="I136" s="8" t="s">
        <v>71</v>
      </c>
      <c r="J136" s="8"/>
      <c r="K136" s="8" t="s">
        <v>190</v>
      </c>
      <c r="L136" s="8" t="s">
        <v>87</v>
      </c>
      <c r="M136" s="5" t="s">
        <v>191</v>
      </c>
    </row>
    <row r="137" spans="1:13">
      <c r="A137" s="5" t="s">
        <v>98</v>
      </c>
      <c r="C137" s="12" t="s">
        <v>180</v>
      </c>
      <c r="D137" s="5" t="s">
        <v>192</v>
      </c>
      <c r="F137" s="6">
        <v>46049</v>
      </c>
      <c r="G137" s="6">
        <v>46062</v>
      </c>
      <c r="H137" s="10" t="str">
        <f t="shared" ca="1" si="3"/>
        <v>Prazo encerrado</v>
      </c>
      <c r="I137" s="8" t="s">
        <v>71</v>
      </c>
      <c r="J137" s="8"/>
      <c r="K137" s="8" t="s">
        <v>190</v>
      </c>
      <c r="L137" s="8" t="s">
        <v>57</v>
      </c>
      <c r="M137" s="5" t="s">
        <v>193</v>
      </c>
    </row>
    <row r="138" spans="1:13">
      <c r="A138" s="5" t="s">
        <v>98</v>
      </c>
      <c r="C138" s="12" t="s">
        <v>180</v>
      </c>
      <c r="D138" s="5" t="s">
        <v>194</v>
      </c>
      <c r="F138" s="6">
        <v>46050</v>
      </c>
      <c r="G138" s="6">
        <v>46091</v>
      </c>
      <c r="H138" s="10">
        <f t="shared" ca="1" si="3"/>
        <v>28</v>
      </c>
      <c r="I138" s="8" t="s">
        <v>71</v>
      </c>
      <c r="J138" s="8"/>
      <c r="K138" s="8" t="s">
        <v>190</v>
      </c>
      <c r="L138" s="8" t="s">
        <v>57</v>
      </c>
    </row>
    <row r="139" spans="1:13">
      <c r="A139" s="5" t="s">
        <v>98</v>
      </c>
      <c r="C139" s="12" t="s">
        <v>180</v>
      </c>
      <c r="D139" s="5" t="s">
        <v>195</v>
      </c>
      <c r="F139" s="6">
        <v>46050</v>
      </c>
      <c r="G139" s="6">
        <v>46091</v>
      </c>
      <c r="H139" s="10">
        <f t="shared" ca="1" si="3"/>
        <v>28</v>
      </c>
      <c r="I139" s="8" t="s">
        <v>71</v>
      </c>
      <c r="J139" s="8"/>
      <c r="K139" s="8" t="s">
        <v>56</v>
      </c>
      <c r="L139" s="8" t="s">
        <v>57</v>
      </c>
    </row>
    <row r="140" spans="1:13">
      <c r="A140" s="5" t="s">
        <v>98</v>
      </c>
      <c r="C140" s="12" t="s">
        <v>196</v>
      </c>
      <c r="D140" s="5" t="s">
        <v>197</v>
      </c>
      <c r="F140" s="6">
        <v>46013</v>
      </c>
      <c r="G140" s="6">
        <v>46036</v>
      </c>
      <c r="H140" s="10" t="str">
        <f t="shared" ca="1" si="3"/>
        <v>Prazo encerrado</v>
      </c>
      <c r="I140" s="8" t="s">
        <v>71</v>
      </c>
      <c r="J140" s="8"/>
      <c r="K140" s="8" t="s">
        <v>18</v>
      </c>
      <c r="L140" s="8" t="s">
        <v>19</v>
      </c>
      <c r="M140" s="5" t="s">
        <v>198</v>
      </c>
    </row>
    <row r="141" spans="1:13">
      <c r="A141" s="5" t="s">
        <v>98</v>
      </c>
      <c r="C141" s="12" t="s">
        <v>196</v>
      </c>
      <c r="D141" s="5" t="s">
        <v>199</v>
      </c>
      <c r="F141" s="6">
        <v>46013</v>
      </c>
      <c r="G141" s="6">
        <v>46056</v>
      </c>
      <c r="H141" s="10" t="str">
        <f t="shared" ca="1" si="3"/>
        <v>Prazo encerrado</v>
      </c>
      <c r="I141" s="8" t="s">
        <v>71</v>
      </c>
      <c r="J141" s="8"/>
      <c r="K141" s="8" t="s">
        <v>56</v>
      </c>
      <c r="L141" s="8" t="s">
        <v>57</v>
      </c>
    </row>
    <row r="142" spans="1:13">
      <c r="A142" s="5" t="s">
        <v>98</v>
      </c>
      <c r="C142" s="12" t="s">
        <v>196</v>
      </c>
      <c r="D142" s="5" t="s">
        <v>200</v>
      </c>
      <c r="F142" s="6">
        <v>46050</v>
      </c>
      <c r="G142" s="6">
        <v>46087</v>
      </c>
      <c r="H142" s="10">
        <f t="shared" ca="1" si="3"/>
        <v>24</v>
      </c>
      <c r="I142" s="8" t="s">
        <v>71</v>
      </c>
      <c r="J142" s="8"/>
      <c r="K142" s="8" t="s">
        <v>56</v>
      </c>
      <c r="L142" s="8" t="s">
        <v>57</v>
      </c>
    </row>
    <row r="143" spans="1:13">
      <c r="A143" s="5" t="s">
        <v>98</v>
      </c>
      <c r="C143" s="12" t="s">
        <v>196</v>
      </c>
      <c r="D143" s="5" t="s">
        <v>201</v>
      </c>
      <c r="F143" s="6">
        <v>46050</v>
      </c>
      <c r="G143" s="6">
        <v>46071</v>
      </c>
      <c r="H143" s="10">
        <f t="shared" ca="1" si="3"/>
        <v>8</v>
      </c>
      <c r="I143" s="8" t="s">
        <v>71</v>
      </c>
      <c r="J143" s="8"/>
      <c r="K143" s="8" t="s">
        <v>56</v>
      </c>
      <c r="L143" s="8" t="s">
        <v>57</v>
      </c>
    </row>
    <row r="144" spans="1:13">
      <c r="A144" s="5" t="s">
        <v>98</v>
      </c>
      <c r="C144" s="12" t="s">
        <v>196</v>
      </c>
      <c r="D144" s="5" t="s">
        <v>202</v>
      </c>
      <c r="F144" s="6">
        <v>46056</v>
      </c>
      <c r="G144" s="6">
        <v>46073</v>
      </c>
      <c r="H144" s="10">
        <f t="shared" ca="1" si="3"/>
        <v>10</v>
      </c>
      <c r="I144" s="8" t="s">
        <v>71</v>
      </c>
      <c r="J144" s="8"/>
      <c r="K144" s="8" t="s">
        <v>56</v>
      </c>
      <c r="L144" s="8" t="s">
        <v>57</v>
      </c>
    </row>
    <row r="145" spans="1:13">
      <c r="A145" s="5" t="s">
        <v>98</v>
      </c>
      <c r="C145" s="12" t="s">
        <v>196</v>
      </c>
      <c r="D145" s="5" t="s">
        <v>203</v>
      </c>
      <c r="F145" s="6">
        <v>46056</v>
      </c>
      <c r="G145" s="6">
        <v>46073</v>
      </c>
      <c r="H145" s="10">
        <f t="shared" ref="H145:H153" ca="1" si="4">IF(INT(G145-TODAY())&lt;=0,"Prazo encerrado",INT(G145-TODAY()))</f>
        <v>10</v>
      </c>
      <c r="I145" s="8" t="s">
        <v>71</v>
      </c>
      <c r="J145" s="8"/>
      <c r="K145" s="8" t="s">
        <v>56</v>
      </c>
      <c r="L145" s="8" t="s">
        <v>57</v>
      </c>
    </row>
    <row r="146" spans="1:13">
      <c r="A146" s="5" t="s">
        <v>98</v>
      </c>
      <c r="C146" s="12" t="s">
        <v>196</v>
      </c>
      <c r="D146" s="5" t="s">
        <v>204</v>
      </c>
      <c r="F146" s="6">
        <v>46056</v>
      </c>
      <c r="G146" s="6">
        <v>46073</v>
      </c>
      <c r="H146" s="10">
        <f t="shared" ca="1" si="4"/>
        <v>10</v>
      </c>
      <c r="I146" s="8" t="s">
        <v>71</v>
      </c>
      <c r="J146" s="8"/>
      <c r="K146" s="8" t="s">
        <v>56</v>
      </c>
      <c r="L146" s="8" t="s">
        <v>57</v>
      </c>
    </row>
    <row r="147" spans="1:13">
      <c r="A147" s="5" t="s">
        <v>98</v>
      </c>
      <c r="C147" s="12" t="s">
        <v>196</v>
      </c>
      <c r="D147" s="5" t="s">
        <v>205</v>
      </c>
      <c r="F147" s="6">
        <v>46056</v>
      </c>
      <c r="G147" s="6">
        <v>46073</v>
      </c>
      <c r="H147" s="10">
        <f t="shared" ca="1" si="4"/>
        <v>10</v>
      </c>
      <c r="I147" s="8" t="s">
        <v>71</v>
      </c>
      <c r="J147" s="8"/>
      <c r="K147" s="8" t="s">
        <v>56</v>
      </c>
      <c r="L147" s="8" t="s">
        <v>57</v>
      </c>
    </row>
    <row r="148" spans="1:13">
      <c r="A148" s="5" t="s">
        <v>98</v>
      </c>
      <c r="C148" s="12" t="s">
        <v>196</v>
      </c>
      <c r="D148" s="5" t="s">
        <v>206</v>
      </c>
      <c r="F148" s="6">
        <v>46056</v>
      </c>
      <c r="G148" s="6">
        <v>46073</v>
      </c>
      <c r="H148" s="10">
        <f t="shared" ca="1" si="4"/>
        <v>10</v>
      </c>
      <c r="I148" s="8" t="s">
        <v>71</v>
      </c>
      <c r="J148" s="8"/>
      <c r="K148" s="8" t="s">
        <v>56</v>
      </c>
      <c r="L148" s="8" t="s">
        <v>57</v>
      </c>
    </row>
    <row r="149" spans="1:13">
      <c r="A149" s="5" t="s">
        <v>98</v>
      </c>
      <c r="C149" s="12" t="s">
        <v>196</v>
      </c>
      <c r="D149" s="5" t="s">
        <v>207</v>
      </c>
      <c r="F149" s="6">
        <v>46056</v>
      </c>
      <c r="G149" s="6">
        <v>46073</v>
      </c>
      <c r="H149" s="10">
        <f t="shared" ca="1" si="4"/>
        <v>10</v>
      </c>
      <c r="I149" s="8" t="s">
        <v>71</v>
      </c>
      <c r="J149" s="8"/>
      <c r="K149" s="8" t="s">
        <v>56</v>
      </c>
      <c r="L149" s="8" t="s">
        <v>57</v>
      </c>
    </row>
    <row r="150" spans="1:13">
      <c r="A150" s="5" t="s">
        <v>98</v>
      </c>
      <c r="C150" s="12" t="s">
        <v>196</v>
      </c>
      <c r="D150" s="5" t="s">
        <v>208</v>
      </c>
      <c r="F150" s="6">
        <v>46056</v>
      </c>
      <c r="G150" s="6">
        <v>46073</v>
      </c>
      <c r="H150" s="10">
        <f t="shared" ca="1" si="4"/>
        <v>10</v>
      </c>
      <c r="I150" s="8" t="s">
        <v>71</v>
      </c>
      <c r="J150" s="8"/>
      <c r="K150" s="8" t="s">
        <v>56</v>
      </c>
      <c r="L150" s="8" t="s">
        <v>57</v>
      </c>
    </row>
    <row r="151" spans="1:13">
      <c r="A151" s="5" t="s">
        <v>98</v>
      </c>
      <c r="C151" s="12" t="s">
        <v>196</v>
      </c>
      <c r="D151" s="5" t="s">
        <v>209</v>
      </c>
      <c r="F151" s="6">
        <v>46056</v>
      </c>
      <c r="G151" s="6">
        <v>46073</v>
      </c>
      <c r="H151" s="10">
        <f t="shared" ca="1" si="4"/>
        <v>10</v>
      </c>
      <c r="I151" s="8" t="s">
        <v>71</v>
      </c>
      <c r="J151" s="8"/>
      <c r="K151" s="8" t="s">
        <v>56</v>
      </c>
      <c r="L151" s="8" t="s">
        <v>57</v>
      </c>
    </row>
    <row r="152" spans="1:13">
      <c r="A152" s="5" t="s">
        <v>98</v>
      </c>
      <c r="C152" s="12" t="s">
        <v>196</v>
      </c>
      <c r="D152" s="5" t="s">
        <v>210</v>
      </c>
      <c r="F152" s="6">
        <v>46056</v>
      </c>
      <c r="G152" s="6">
        <v>46073</v>
      </c>
      <c r="H152" s="10">
        <f t="shared" ca="1" si="4"/>
        <v>10</v>
      </c>
      <c r="I152" s="8" t="s">
        <v>71</v>
      </c>
      <c r="J152" s="8"/>
      <c r="K152" s="8" t="s">
        <v>56</v>
      </c>
      <c r="L152" s="8" t="s">
        <v>57</v>
      </c>
    </row>
    <row r="153" spans="1:13">
      <c r="A153" s="5" t="s">
        <v>98</v>
      </c>
      <c r="C153" s="12" t="s">
        <v>196</v>
      </c>
      <c r="D153" s="5" t="s">
        <v>211</v>
      </c>
      <c r="F153" s="6">
        <v>46056</v>
      </c>
      <c r="G153" s="6">
        <v>46073</v>
      </c>
      <c r="H153" s="10">
        <f t="shared" ca="1" si="4"/>
        <v>10</v>
      </c>
      <c r="I153" s="8" t="s">
        <v>71</v>
      </c>
      <c r="J153" s="8"/>
      <c r="K153" s="8" t="s">
        <v>56</v>
      </c>
      <c r="L153" s="8" t="s">
        <v>57</v>
      </c>
    </row>
    <row r="154" spans="1:13">
      <c r="A154" s="5" t="s">
        <v>98</v>
      </c>
      <c r="C154" s="12" t="s">
        <v>212</v>
      </c>
      <c r="D154" s="5" t="s">
        <v>213</v>
      </c>
      <c r="F154" s="6">
        <v>46031</v>
      </c>
      <c r="G154" s="6">
        <v>46057</v>
      </c>
      <c r="H154" s="10" t="str">
        <f t="shared" ca="1" si="3"/>
        <v>Prazo encerrado</v>
      </c>
      <c r="I154" s="8" t="s">
        <v>71</v>
      </c>
      <c r="J154" s="8"/>
      <c r="K154" s="8" t="s">
        <v>56</v>
      </c>
      <c r="L154" s="8" t="s">
        <v>214</v>
      </c>
      <c r="M154" s="5" t="s">
        <v>215</v>
      </c>
    </row>
    <row r="155" spans="1:13">
      <c r="A155" s="5" t="s">
        <v>98</v>
      </c>
      <c r="C155" s="12" t="s">
        <v>212</v>
      </c>
      <c r="D155" s="5" t="s">
        <v>216</v>
      </c>
      <c r="F155" s="6">
        <v>46031</v>
      </c>
      <c r="G155" s="6">
        <v>46057</v>
      </c>
      <c r="H155" s="10" t="str">
        <f t="shared" ca="1" si="3"/>
        <v>Prazo encerrado</v>
      </c>
      <c r="I155" s="8" t="s">
        <v>71</v>
      </c>
      <c r="J155" s="8"/>
      <c r="K155" s="8" t="s">
        <v>56</v>
      </c>
      <c r="L155" s="8" t="s">
        <v>214</v>
      </c>
      <c r="M155" s="5" t="s">
        <v>215</v>
      </c>
    </row>
    <row r="156" spans="1:13" ht="15.95" customHeight="1">
      <c r="A156" s="5" t="s">
        <v>98</v>
      </c>
      <c r="C156" s="12" t="s">
        <v>217</v>
      </c>
      <c r="D156" s="5" t="s">
        <v>218</v>
      </c>
      <c r="F156" s="6">
        <v>46031</v>
      </c>
      <c r="G156" s="6">
        <v>46066</v>
      </c>
      <c r="H156" s="10">
        <f t="shared" ref="H156:H176" ca="1" si="5">IF(INT(G156-TODAY())&lt;=0,"Prazo encerrado",INT(G156-TODAY()))</f>
        <v>3</v>
      </c>
      <c r="I156" s="8" t="s">
        <v>71</v>
      </c>
      <c r="J156" s="8" t="s">
        <v>17</v>
      </c>
      <c r="K156" s="8" t="s">
        <v>56</v>
      </c>
      <c r="L156" s="8" t="s">
        <v>214</v>
      </c>
      <c r="M156" s="16" t="s">
        <v>219</v>
      </c>
    </row>
    <row r="157" spans="1:13" ht="15.95" customHeight="1">
      <c r="A157" s="5" t="s">
        <v>98</v>
      </c>
      <c r="C157" s="12" t="s">
        <v>217</v>
      </c>
      <c r="D157" s="5" t="s">
        <v>220</v>
      </c>
      <c r="F157" s="6">
        <v>46031</v>
      </c>
      <c r="G157" s="6">
        <v>46066</v>
      </c>
      <c r="H157" s="10">
        <f t="shared" ca="1" si="5"/>
        <v>3</v>
      </c>
      <c r="I157" s="8" t="s">
        <v>71</v>
      </c>
      <c r="J157" s="8" t="s">
        <v>17</v>
      </c>
      <c r="K157" s="8" t="s">
        <v>56</v>
      </c>
      <c r="L157" s="8" t="s">
        <v>214</v>
      </c>
      <c r="M157" s="16" t="s">
        <v>219</v>
      </c>
    </row>
    <row r="158" spans="1:13">
      <c r="A158" s="5" t="s">
        <v>98</v>
      </c>
      <c r="C158" s="12" t="s">
        <v>217</v>
      </c>
      <c r="D158" s="5" t="s">
        <v>221</v>
      </c>
      <c r="F158" s="6">
        <v>46031</v>
      </c>
      <c r="G158" s="6">
        <v>46104</v>
      </c>
      <c r="H158" s="10">
        <f t="shared" ca="1" si="5"/>
        <v>41</v>
      </c>
      <c r="I158" s="8" t="s">
        <v>71</v>
      </c>
      <c r="J158" s="8"/>
      <c r="K158" s="8" t="s">
        <v>56</v>
      </c>
      <c r="L158" s="8" t="s">
        <v>57</v>
      </c>
    </row>
    <row r="159" spans="1:13">
      <c r="A159" s="5" t="s">
        <v>98</v>
      </c>
      <c r="C159" s="12" t="s">
        <v>217</v>
      </c>
      <c r="D159" s="5" t="s">
        <v>222</v>
      </c>
      <c r="F159" s="6">
        <v>46031</v>
      </c>
      <c r="G159" s="6">
        <v>46104</v>
      </c>
      <c r="H159" s="10">
        <f t="shared" ca="1" si="5"/>
        <v>41</v>
      </c>
      <c r="I159" s="8" t="s">
        <v>71</v>
      </c>
      <c r="J159" s="8"/>
      <c r="K159" s="8" t="s">
        <v>56</v>
      </c>
      <c r="L159" s="8" t="s">
        <v>57</v>
      </c>
    </row>
    <row r="160" spans="1:13">
      <c r="A160" s="5" t="s">
        <v>98</v>
      </c>
      <c r="C160" s="12" t="s">
        <v>217</v>
      </c>
      <c r="D160" s="5" t="s">
        <v>104</v>
      </c>
      <c r="F160" s="6">
        <v>46031</v>
      </c>
      <c r="G160" s="6">
        <v>46066</v>
      </c>
      <c r="H160" s="10">
        <f t="shared" ca="1" si="5"/>
        <v>3</v>
      </c>
      <c r="I160" s="8" t="s">
        <v>71</v>
      </c>
      <c r="J160" s="8"/>
      <c r="K160" s="8" t="s">
        <v>56</v>
      </c>
      <c r="L160" s="8" t="s">
        <v>57</v>
      </c>
    </row>
    <row r="161" spans="1:12">
      <c r="A161" s="5" t="s">
        <v>98</v>
      </c>
      <c r="C161" s="12" t="s">
        <v>217</v>
      </c>
      <c r="D161" s="5" t="s">
        <v>223</v>
      </c>
      <c r="F161" s="6">
        <v>46031</v>
      </c>
      <c r="G161" s="6">
        <v>46090</v>
      </c>
      <c r="H161" s="10">
        <f t="shared" ca="1" si="5"/>
        <v>27</v>
      </c>
      <c r="I161" s="8" t="s">
        <v>71</v>
      </c>
      <c r="J161" s="8"/>
      <c r="K161" s="8" t="s">
        <v>56</v>
      </c>
      <c r="L161" s="8" t="s">
        <v>57</v>
      </c>
    </row>
    <row r="162" spans="1:12">
      <c r="A162" s="5" t="s">
        <v>98</v>
      </c>
      <c r="C162" s="12" t="s">
        <v>217</v>
      </c>
      <c r="D162" s="5" t="s">
        <v>82</v>
      </c>
      <c r="F162" s="6">
        <v>46031</v>
      </c>
      <c r="G162" s="6">
        <v>46090</v>
      </c>
      <c r="H162" s="10">
        <f t="shared" ca="1" si="5"/>
        <v>27</v>
      </c>
      <c r="I162" s="8" t="s">
        <v>71</v>
      </c>
      <c r="J162" s="8"/>
      <c r="K162" s="8" t="s">
        <v>56</v>
      </c>
      <c r="L162" s="8" t="s">
        <v>57</v>
      </c>
    </row>
    <row r="163" spans="1:12">
      <c r="A163" s="5" t="s">
        <v>98</v>
      </c>
      <c r="C163" s="12" t="s">
        <v>217</v>
      </c>
      <c r="D163" s="5" t="s">
        <v>224</v>
      </c>
      <c r="F163" s="6">
        <v>46031</v>
      </c>
      <c r="G163" s="6">
        <v>46090</v>
      </c>
      <c r="H163" s="10">
        <f t="shared" ca="1" si="5"/>
        <v>27</v>
      </c>
      <c r="I163" s="8" t="s">
        <v>71</v>
      </c>
      <c r="J163" s="8"/>
      <c r="K163" s="8" t="s">
        <v>56</v>
      </c>
      <c r="L163" s="8" t="s">
        <v>57</v>
      </c>
    </row>
    <row r="164" spans="1:12">
      <c r="A164" s="5" t="s">
        <v>98</v>
      </c>
      <c r="C164" s="12" t="s">
        <v>217</v>
      </c>
      <c r="D164" s="5" t="s">
        <v>225</v>
      </c>
      <c r="F164" s="6">
        <v>46031</v>
      </c>
      <c r="G164" s="6">
        <v>46090</v>
      </c>
      <c r="H164" s="10">
        <f t="shared" ca="1" si="5"/>
        <v>27</v>
      </c>
      <c r="I164" s="8" t="s">
        <v>71</v>
      </c>
      <c r="J164" s="8"/>
      <c r="K164" s="8" t="s">
        <v>56</v>
      </c>
      <c r="L164" s="8" t="s">
        <v>57</v>
      </c>
    </row>
    <row r="165" spans="1:12">
      <c r="A165" s="5" t="s">
        <v>98</v>
      </c>
      <c r="C165" s="12" t="s">
        <v>217</v>
      </c>
      <c r="D165" s="5" t="s">
        <v>226</v>
      </c>
      <c r="F165" s="6">
        <v>46050</v>
      </c>
      <c r="G165" s="6">
        <v>46090</v>
      </c>
      <c r="H165" s="10">
        <f t="shared" ca="1" si="5"/>
        <v>27</v>
      </c>
      <c r="I165" s="8" t="s">
        <v>71</v>
      </c>
      <c r="J165" s="8"/>
      <c r="K165" s="8" t="s">
        <v>56</v>
      </c>
      <c r="L165" s="8" t="s">
        <v>57</v>
      </c>
    </row>
    <row r="166" spans="1:12">
      <c r="A166" s="5" t="s">
        <v>98</v>
      </c>
      <c r="C166" s="12" t="s">
        <v>217</v>
      </c>
      <c r="D166" s="5" t="s">
        <v>227</v>
      </c>
      <c r="F166" s="6">
        <v>46050</v>
      </c>
      <c r="G166" s="6">
        <v>46090</v>
      </c>
      <c r="H166" s="10">
        <f t="shared" ca="1" si="5"/>
        <v>27</v>
      </c>
      <c r="I166" s="8" t="s">
        <v>71</v>
      </c>
      <c r="J166" s="8"/>
      <c r="K166" s="8" t="s">
        <v>56</v>
      </c>
      <c r="L166" s="8" t="s">
        <v>57</v>
      </c>
    </row>
    <row r="167" spans="1:12">
      <c r="A167" s="5" t="s">
        <v>98</v>
      </c>
      <c r="C167" s="12" t="s">
        <v>217</v>
      </c>
      <c r="D167" s="5" t="s">
        <v>228</v>
      </c>
      <c r="F167" s="6">
        <v>46050</v>
      </c>
      <c r="G167" s="6">
        <v>46090</v>
      </c>
      <c r="H167" s="10">
        <f t="shared" ca="1" si="5"/>
        <v>27</v>
      </c>
      <c r="I167" s="8" t="s">
        <v>71</v>
      </c>
      <c r="J167" s="8"/>
      <c r="K167" s="8" t="s">
        <v>56</v>
      </c>
      <c r="L167" s="8" t="s">
        <v>57</v>
      </c>
    </row>
    <row r="168" spans="1:12">
      <c r="A168" s="5" t="s">
        <v>98</v>
      </c>
      <c r="C168" s="12" t="s">
        <v>217</v>
      </c>
      <c r="D168" s="5" t="s">
        <v>229</v>
      </c>
      <c r="F168" s="6">
        <v>46050</v>
      </c>
      <c r="G168" s="6">
        <v>46090</v>
      </c>
      <c r="H168" s="10">
        <f t="shared" ca="1" si="5"/>
        <v>27</v>
      </c>
      <c r="I168" s="8" t="s">
        <v>71</v>
      </c>
      <c r="J168" s="8"/>
      <c r="K168" s="8" t="s">
        <v>56</v>
      </c>
      <c r="L168" s="8" t="s">
        <v>57</v>
      </c>
    </row>
    <row r="169" spans="1:12">
      <c r="A169" s="5" t="s">
        <v>98</v>
      </c>
      <c r="C169" s="12" t="s">
        <v>217</v>
      </c>
      <c r="D169" s="5" t="s">
        <v>230</v>
      </c>
      <c r="F169" s="6">
        <v>46050</v>
      </c>
      <c r="G169" s="6">
        <v>46090</v>
      </c>
      <c r="H169" s="10">
        <f t="shared" ca="1" si="5"/>
        <v>27</v>
      </c>
      <c r="I169" s="8" t="s">
        <v>71</v>
      </c>
      <c r="J169" s="8"/>
      <c r="K169" s="8" t="s">
        <v>56</v>
      </c>
      <c r="L169" s="8" t="s">
        <v>57</v>
      </c>
    </row>
    <row r="170" spans="1:12">
      <c r="A170" s="5" t="s">
        <v>98</v>
      </c>
      <c r="C170" s="12" t="s">
        <v>217</v>
      </c>
      <c r="D170" s="5" t="s">
        <v>231</v>
      </c>
      <c r="F170" s="6">
        <v>46050</v>
      </c>
      <c r="G170" s="6">
        <v>46104</v>
      </c>
      <c r="H170" s="10">
        <f t="shared" ca="1" si="5"/>
        <v>41</v>
      </c>
      <c r="I170" s="8" t="s">
        <v>71</v>
      </c>
      <c r="J170" s="8"/>
      <c r="K170" s="8" t="s">
        <v>56</v>
      </c>
      <c r="L170" s="8" t="s">
        <v>57</v>
      </c>
    </row>
    <row r="171" spans="1:12">
      <c r="A171" s="5" t="s">
        <v>98</v>
      </c>
      <c r="C171" s="12" t="s">
        <v>217</v>
      </c>
      <c r="D171" s="5" t="s">
        <v>232</v>
      </c>
      <c r="F171" s="6">
        <v>46050</v>
      </c>
      <c r="G171" s="6">
        <v>46104</v>
      </c>
      <c r="H171" s="10">
        <f t="shared" ca="1" si="5"/>
        <v>41</v>
      </c>
      <c r="I171" s="8" t="s">
        <v>71</v>
      </c>
      <c r="J171" s="8"/>
      <c r="K171" s="8" t="s">
        <v>56</v>
      </c>
      <c r="L171" s="8" t="s">
        <v>57</v>
      </c>
    </row>
    <row r="172" spans="1:12">
      <c r="A172" s="5" t="s">
        <v>98</v>
      </c>
      <c r="C172" s="12" t="s">
        <v>217</v>
      </c>
      <c r="D172" s="5" t="s">
        <v>233</v>
      </c>
      <c r="F172" s="6">
        <v>46050</v>
      </c>
      <c r="G172" s="6">
        <v>46097</v>
      </c>
      <c r="H172" s="10">
        <f t="shared" ca="1" si="5"/>
        <v>34</v>
      </c>
      <c r="I172" s="8" t="s">
        <v>71</v>
      </c>
      <c r="J172" s="8"/>
      <c r="K172" s="8" t="s">
        <v>56</v>
      </c>
      <c r="L172" s="8" t="s">
        <v>57</v>
      </c>
    </row>
    <row r="173" spans="1:12">
      <c r="A173" s="5" t="s">
        <v>98</v>
      </c>
      <c r="C173" s="12" t="s">
        <v>217</v>
      </c>
      <c r="D173" s="5" t="s">
        <v>234</v>
      </c>
      <c r="F173" s="6">
        <v>46050</v>
      </c>
      <c r="G173" s="6">
        <v>46113</v>
      </c>
      <c r="H173" s="10">
        <f t="shared" ca="1" si="5"/>
        <v>50</v>
      </c>
      <c r="I173" s="8" t="s">
        <v>71</v>
      </c>
      <c r="J173" s="8"/>
      <c r="K173" s="8" t="s">
        <v>56</v>
      </c>
      <c r="L173" s="8" t="s">
        <v>57</v>
      </c>
    </row>
    <row r="174" spans="1:12">
      <c r="A174" s="5" t="s">
        <v>98</v>
      </c>
      <c r="C174" s="12" t="s">
        <v>217</v>
      </c>
      <c r="D174" s="5" t="s">
        <v>235</v>
      </c>
      <c r="F174" s="6">
        <v>46050</v>
      </c>
      <c r="G174" s="6">
        <v>46113</v>
      </c>
      <c r="H174" s="10">
        <f t="shared" ca="1" si="5"/>
        <v>50</v>
      </c>
      <c r="I174" s="8" t="s">
        <v>71</v>
      </c>
      <c r="J174" s="8"/>
      <c r="K174" s="8" t="s">
        <v>56</v>
      </c>
      <c r="L174" s="8" t="s">
        <v>57</v>
      </c>
    </row>
    <row r="175" spans="1:12">
      <c r="A175" s="5" t="s">
        <v>98</v>
      </c>
      <c r="C175" s="12" t="s">
        <v>217</v>
      </c>
      <c r="D175" s="5" t="s">
        <v>236</v>
      </c>
      <c r="F175" s="6">
        <v>46050</v>
      </c>
      <c r="G175" s="6">
        <v>46113</v>
      </c>
      <c r="H175" s="10">
        <f t="shared" ca="1" si="5"/>
        <v>50</v>
      </c>
      <c r="I175" s="8" t="s">
        <v>71</v>
      </c>
      <c r="J175" s="8"/>
      <c r="K175" s="8" t="s">
        <v>56</v>
      </c>
      <c r="L175" s="8" t="s">
        <v>57</v>
      </c>
    </row>
    <row r="176" spans="1:12">
      <c r="A176" s="5" t="s">
        <v>98</v>
      </c>
      <c r="C176" s="12" t="s">
        <v>217</v>
      </c>
      <c r="D176" s="5" t="s">
        <v>237</v>
      </c>
      <c r="F176" s="6">
        <v>46050</v>
      </c>
      <c r="G176" s="6">
        <v>46113</v>
      </c>
      <c r="H176" s="10">
        <f t="shared" ca="1" si="5"/>
        <v>50</v>
      </c>
      <c r="I176" s="8" t="s">
        <v>71</v>
      </c>
      <c r="J176" s="8"/>
      <c r="K176" s="8" t="s">
        <v>56</v>
      </c>
      <c r="L176" s="8" t="s">
        <v>57</v>
      </c>
    </row>
    <row r="177" spans="1:12">
      <c r="A177" s="5" t="s">
        <v>98</v>
      </c>
      <c r="C177" s="12" t="s">
        <v>238</v>
      </c>
      <c r="D177" s="5" t="s">
        <v>239</v>
      </c>
      <c r="F177" s="6">
        <v>46043</v>
      </c>
      <c r="G177" s="6">
        <v>46230</v>
      </c>
      <c r="H177" s="10">
        <f t="shared" ref="H177:H201" ca="1" si="6">IF(INT(G177-TODAY())&lt;=0,"Prazo encerrado",INT(G177-TODAY()))</f>
        <v>167</v>
      </c>
      <c r="I177" s="8" t="s">
        <v>71</v>
      </c>
      <c r="J177" s="8"/>
      <c r="K177" s="8" t="s">
        <v>56</v>
      </c>
      <c r="L177" s="8" t="s">
        <v>57</v>
      </c>
    </row>
    <row r="178" spans="1:12">
      <c r="A178" s="5" t="s">
        <v>98</v>
      </c>
      <c r="C178" s="12" t="s">
        <v>238</v>
      </c>
      <c r="D178" s="5" t="s">
        <v>240</v>
      </c>
      <c r="F178" s="6">
        <v>46043</v>
      </c>
      <c r="G178" s="6">
        <v>46230</v>
      </c>
      <c r="H178" s="10">
        <f t="shared" ca="1" si="6"/>
        <v>167</v>
      </c>
      <c r="I178" s="8" t="s">
        <v>71</v>
      </c>
      <c r="J178" s="8"/>
      <c r="K178" s="8" t="s">
        <v>56</v>
      </c>
      <c r="L178" s="8" t="s">
        <v>57</v>
      </c>
    </row>
    <row r="179" spans="1:12">
      <c r="A179" s="5" t="s">
        <v>98</v>
      </c>
      <c r="C179" s="12" t="s">
        <v>238</v>
      </c>
      <c r="D179" s="5" t="s">
        <v>241</v>
      </c>
      <c r="F179" s="6">
        <v>46043</v>
      </c>
      <c r="G179" s="6">
        <v>46230</v>
      </c>
      <c r="H179" s="10">
        <f t="shared" ca="1" si="6"/>
        <v>167</v>
      </c>
      <c r="I179" s="8" t="s">
        <v>71</v>
      </c>
      <c r="J179" s="8"/>
      <c r="K179" s="8" t="s">
        <v>56</v>
      </c>
      <c r="L179" s="8" t="s">
        <v>57</v>
      </c>
    </row>
    <row r="180" spans="1:12">
      <c r="A180" s="5" t="s">
        <v>98</v>
      </c>
      <c r="C180" s="12" t="s">
        <v>238</v>
      </c>
      <c r="D180" s="5" t="s">
        <v>242</v>
      </c>
      <c r="F180" s="6">
        <v>46043</v>
      </c>
      <c r="G180" s="6">
        <v>46230</v>
      </c>
      <c r="H180" s="10">
        <f t="shared" ca="1" si="6"/>
        <v>167</v>
      </c>
      <c r="I180" s="8" t="s">
        <v>71</v>
      </c>
      <c r="J180" s="8"/>
      <c r="K180" s="8" t="s">
        <v>56</v>
      </c>
      <c r="L180" s="8" t="s">
        <v>57</v>
      </c>
    </row>
    <row r="181" spans="1:12">
      <c r="A181" s="5" t="s">
        <v>98</v>
      </c>
      <c r="C181" s="12" t="s">
        <v>238</v>
      </c>
      <c r="D181" s="5" t="s">
        <v>243</v>
      </c>
      <c r="F181" s="6">
        <v>46043</v>
      </c>
      <c r="G181" s="6">
        <v>46230</v>
      </c>
      <c r="H181" s="10">
        <f t="shared" ca="1" si="6"/>
        <v>167</v>
      </c>
      <c r="I181" s="8" t="s">
        <v>71</v>
      </c>
      <c r="J181" s="8"/>
      <c r="K181" s="8" t="s">
        <v>56</v>
      </c>
      <c r="L181" s="8" t="s">
        <v>57</v>
      </c>
    </row>
    <row r="182" spans="1:12">
      <c r="A182" s="5" t="s">
        <v>98</v>
      </c>
      <c r="C182" s="12" t="s">
        <v>238</v>
      </c>
      <c r="D182" s="5" t="s">
        <v>244</v>
      </c>
      <c r="F182" s="6">
        <v>46043</v>
      </c>
      <c r="G182" s="6">
        <v>46230</v>
      </c>
      <c r="H182" s="10">
        <f t="shared" ca="1" si="6"/>
        <v>167</v>
      </c>
      <c r="I182" s="8" t="s">
        <v>71</v>
      </c>
      <c r="J182" s="8"/>
      <c r="K182" s="8" t="s">
        <v>56</v>
      </c>
      <c r="L182" s="8" t="s">
        <v>57</v>
      </c>
    </row>
    <row r="183" spans="1:12">
      <c r="A183" s="5" t="s">
        <v>98</v>
      </c>
      <c r="C183" s="12" t="s">
        <v>238</v>
      </c>
      <c r="D183" s="5" t="s">
        <v>245</v>
      </c>
      <c r="F183" s="6">
        <v>46043</v>
      </c>
      <c r="G183" s="6">
        <v>46230</v>
      </c>
      <c r="H183" s="10">
        <f t="shared" ca="1" si="6"/>
        <v>167</v>
      </c>
      <c r="I183" s="8" t="s">
        <v>71</v>
      </c>
      <c r="J183" s="8"/>
      <c r="K183" s="8" t="s">
        <v>56</v>
      </c>
      <c r="L183" s="8" t="s">
        <v>57</v>
      </c>
    </row>
    <row r="184" spans="1:12">
      <c r="A184" s="5" t="s">
        <v>98</v>
      </c>
      <c r="C184" s="12" t="s">
        <v>238</v>
      </c>
      <c r="D184" s="5" t="s">
        <v>246</v>
      </c>
      <c r="F184" s="6">
        <v>46043</v>
      </c>
      <c r="G184" s="6">
        <v>46230</v>
      </c>
      <c r="H184" s="10">
        <f t="shared" ca="1" si="6"/>
        <v>167</v>
      </c>
      <c r="I184" s="8" t="s">
        <v>71</v>
      </c>
      <c r="J184" s="8"/>
      <c r="K184" s="8" t="s">
        <v>56</v>
      </c>
      <c r="L184" s="8" t="s">
        <v>57</v>
      </c>
    </row>
    <row r="185" spans="1:12">
      <c r="A185" s="5" t="s">
        <v>98</v>
      </c>
      <c r="C185" s="12" t="s">
        <v>238</v>
      </c>
      <c r="D185" s="5" t="s">
        <v>247</v>
      </c>
      <c r="F185" s="6">
        <v>46043</v>
      </c>
      <c r="G185" s="6">
        <v>46230</v>
      </c>
      <c r="H185" s="10">
        <f t="shared" ca="1" si="6"/>
        <v>167</v>
      </c>
      <c r="I185" s="8" t="s">
        <v>71</v>
      </c>
      <c r="J185" s="8"/>
      <c r="K185" s="8" t="s">
        <v>56</v>
      </c>
      <c r="L185" s="8" t="s">
        <v>57</v>
      </c>
    </row>
    <row r="186" spans="1:12">
      <c r="A186" s="5" t="s">
        <v>98</v>
      </c>
      <c r="C186" s="12" t="s">
        <v>238</v>
      </c>
      <c r="D186" s="5" t="s">
        <v>248</v>
      </c>
      <c r="F186" s="6">
        <v>46043</v>
      </c>
      <c r="G186" s="6">
        <v>46230</v>
      </c>
      <c r="H186" s="10">
        <f t="shared" ca="1" si="6"/>
        <v>167</v>
      </c>
      <c r="I186" s="8" t="s">
        <v>71</v>
      </c>
      <c r="J186" s="8"/>
      <c r="K186" s="8" t="s">
        <v>56</v>
      </c>
      <c r="L186" s="8" t="s">
        <v>57</v>
      </c>
    </row>
    <row r="187" spans="1:12">
      <c r="A187" s="5" t="s">
        <v>98</v>
      </c>
      <c r="C187" s="12" t="s">
        <v>238</v>
      </c>
      <c r="D187" s="5" t="s">
        <v>249</v>
      </c>
      <c r="F187" s="6">
        <v>46043</v>
      </c>
      <c r="G187" s="6">
        <v>46230</v>
      </c>
      <c r="H187" s="10">
        <f t="shared" ca="1" si="6"/>
        <v>167</v>
      </c>
      <c r="I187" s="8" t="s">
        <v>71</v>
      </c>
      <c r="J187" s="8"/>
      <c r="K187" s="8" t="s">
        <v>56</v>
      </c>
      <c r="L187" s="8" t="s">
        <v>57</v>
      </c>
    </row>
    <row r="188" spans="1:12">
      <c r="A188" s="5" t="s">
        <v>98</v>
      </c>
      <c r="C188" s="12" t="s">
        <v>238</v>
      </c>
      <c r="D188" s="5" t="s">
        <v>250</v>
      </c>
      <c r="F188" s="6">
        <v>46043</v>
      </c>
      <c r="G188" s="6">
        <v>46230</v>
      </c>
      <c r="H188" s="10">
        <f t="shared" ca="1" si="6"/>
        <v>167</v>
      </c>
      <c r="I188" s="8" t="s">
        <v>71</v>
      </c>
      <c r="J188" s="8"/>
      <c r="K188" s="8" t="s">
        <v>56</v>
      </c>
      <c r="L188" s="8" t="s">
        <v>57</v>
      </c>
    </row>
    <row r="189" spans="1:12">
      <c r="A189" s="5" t="s">
        <v>98</v>
      </c>
      <c r="C189" s="12" t="s">
        <v>238</v>
      </c>
      <c r="D189" s="5" t="s">
        <v>251</v>
      </c>
      <c r="F189" s="6">
        <v>46043</v>
      </c>
      <c r="G189" s="6">
        <v>46230</v>
      </c>
      <c r="H189" s="10">
        <f t="shared" ca="1" si="6"/>
        <v>167</v>
      </c>
      <c r="I189" s="8" t="s">
        <v>71</v>
      </c>
      <c r="J189" s="8"/>
      <c r="K189" s="8" t="s">
        <v>56</v>
      </c>
      <c r="L189" s="8" t="s">
        <v>57</v>
      </c>
    </row>
    <row r="190" spans="1:12">
      <c r="A190" s="5" t="s">
        <v>98</v>
      </c>
      <c r="C190" s="12" t="s">
        <v>238</v>
      </c>
      <c r="D190" s="5" t="s">
        <v>252</v>
      </c>
      <c r="F190" s="6">
        <v>46050</v>
      </c>
      <c r="G190" s="6">
        <v>46055</v>
      </c>
      <c r="H190" s="10" t="str">
        <f t="shared" ca="1" si="6"/>
        <v>Prazo encerrado</v>
      </c>
      <c r="I190" s="8" t="s">
        <v>71</v>
      </c>
      <c r="J190" s="8"/>
      <c r="K190" s="8" t="s">
        <v>56</v>
      </c>
      <c r="L190" s="8" t="s">
        <v>57</v>
      </c>
    </row>
    <row r="191" spans="1:12">
      <c r="A191" s="5" t="s">
        <v>98</v>
      </c>
      <c r="C191" s="12" t="s">
        <v>238</v>
      </c>
      <c r="D191" s="5" t="s">
        <v>253</v>
      </c>
      <c r="F191" s="6">
        <v>46050</v>
      </c>
      <c r="G191" s="6">
        <v>46055</v>
      </c>
      <c r="H191" s="10" t="str">
        <f t="shared" ca="1" si="6"/>
        <v>Prazo encerrado</v>
      </c>
      <c r="I191" s="8" t="s">
        <v>71</v>
      </c>
      <c r="J191" s="8"/>
      <c r="K191" s="8" t="s">
        <v>56</v>
      </c>
      <c r="L191" s="8" t="s">
        <v>57</v>
      </c>
    </row>
    <row r="192" spans="1:12">
      <c r="A192" s="5" t="s">
        <v>98</v>
      </c>
      <c r="C192" s="12" t="s">
        <v>238</v>
      </c>
      <c r="D192" s="5" t="s">
        <v>254</v>
      </c>
      <c r="F192" s="6">
        <v>46050</v>
      </c>
      <c r="G192" s="6">
        <v>46055</v>
      </c>
      <c r="H192" s="10" t="str">
        <f t="shared" ca="1" si="6"/>
        <v>Prazo encerrado</v>
      </c>
      <c r="I192" s="8" t="s">
        <v>71</v>
      </c>
      <c r="J192" s="8"/>
      <c r="K192" s="8" t="s">
        <v>56</v>
      </c>
      <c r="L192" s="8" t="s">
        <v>57</v>
      </c>
    </row>
    <row r="193" spans="1:13">
      <c r="A193" s="5" t="s">
        <v>98</v>
      </c>
      <c r="C193" s="12" t="s">
        <v>238</v>
      </c>
      <c r="D193" s="5" t="s">
        <v>255</v>
      </c>
      <c r="F193" s="6">
        <v>46050</v>
      </c>
      <c r="G193" s="6">
        <v>46055</v>
      </c>
      <c r="H193" s="10" t="str">
        <f t="shared" ca="1" si="6"/>
        <v>Prazo encerrado</v>
      </c>
      <c r="I193" s="8" t="s">
        <v>71</v>
      </c>
      <c r="J193" s="8"/>
      <c r="K193" s="8" t="s">
        <v>56</v>
      </c>
      <c r="L193" s="8" t="s">
        <v>57</v>
      </c>
    </row>
    <row r="194" spans="1:13">
      <c r="A194" s="5" t="s">
        <v>98</v>
      </c>
      <c r="C194" s="12" t="s">
        <v>238</v>
      </c>
      <c r="D194" s="5" t="s">
        <v>256</v>
      </c>
      <c r="F194" s="6">
        <v>46050</v>
      </c>
      <c r="G194" s="6">
        <v>46055</v>
      </c>
      <c r="H194" s="10" t="str">
        <f t="shared" ca="1" si="6"/>
        <v>Prazo encerrado</v>
      </c>
      <c r="I194" s="8" t="s">
        <v>71</v>
      </c>
      <c r="J194" s="8"/>
      <c r="K194" s="8" t="s">
        <v>56</v>
      </c>
      <c r="L194" s="8" t="s">
        <v>57</v>
      </c>
    </row>
    <row r="195" spans="1:13">
      <c r="A195" s="5" t="s">
        <v>98</v>
      </c>
      <c r="C195" s="12" t="s">
        <v>238</v>
      </c>
      <c r="D195" s="5" t="s">
        <v>257</v>
      </c>
      <c r="F195" s="6">
        <v>46043</v>
      </c>
      <c r="G195" s="6">
        <v>46230</v>
      </c>
      <c r="H195" s="10">
        <f t="shared" ca="1" si="6"/>
        <v>167</v>
      </c>
      <c r="I195" s="8" t="s">
        <v>71</v>
      </c>
      <c r="J195" s="8"/>
      <c r="K195" s="8" t="s">
        <v>56</v>
      </c>
      <c r="L195" s="8" t="s">
        <v>57</v>
      </c>
    </row>
    <row r="196" spans="1:13">
      <c r="A196" s="5" t="s">
        <v>98</v>
      </c>
      <c r="C196" s="12" t="s">
        <v>238</v>
      </c>
      <c r="D196" s="5" t="s">
        <v>258</v>
      </c>
      <c r="F196" s="6">
        <v>46043</v>
      </c>
      <c r="G196" s="6">
        <v>46230</v>
      </c>
      <c r="H196" s="10">
        <f t="shared" ca="1" si="6"/>
        <v>167</v>
      </c>
      <c r="I196" s="8" t="s">
        <v>71</v>
      </c>
      <c r="J196" s="8"/>
      <c r="K196" s="8" t="s">
        <v>56</v>
      </c>
      <c r="L196" s="8" t="s">
        <v>57</v>
      </c>
    </row>
    <row r="197" spans="1:13">
      <c r="A197" s="5" t="s">
        <v>98</v>
      </c>
      <c r="C197" s="12" t="s">
        <v>238</v>
      </c>
      <c r="D197" s="5" t="s">
        <v>259</v>
      </c>
      <c r="F197" s="6">
        <v>46043</v>
      </c>
      <c r="G197" s="6">
        <v>46230</v>
      </c>
      <c r="H197" s="10">
        <f t="shared" ca="1" si="6"/>
        <v>167</v>
      </c>
      <c r="I197" s="8" t="s">
        <v>71</v>
      </c>
      <c r="J197" s="8"/>
      <c r="K197" s="8" t="s">
        <v>56</v>
      </c>
      <c r="L197" s="8" t="s">
        <v>57</v>
      </c>
    </row>
    <row r="198" spans="1:13">
      <c r="A198" s="5" t="s">
        <v>98</v>
      </c>
      <c r="C198" s="12" t="s">
        <v>238</v>
      </c>
      <c r="D198" s="5" t="s">
        <v>260</v>
      </c>
      <c r="F198" s="6">
        <v>46043</v>
      </c>
      <c r="G198" s="6">
        <v>46230</v>
      </c>
      <c r="H198" s="10">
        <f t="shared" ca="1" si="6"/>
        <v>167</v>
      </c>
      <c r="I198" s="8" t="s">
        <v>71</v>
      </c>
      <c r="J198" s="8"/>
      <c r="K198" s="8" t="s">
        <v>56</v>
      </c>
      <c r="L198" s="8" t="s">
        <v>57</v>
      </c>
    </row>
    <row r="199" spans="1:13">
      <c r="A199" s="5" t="s">
        <v>98</v>
      </c>
      <c r="C199" s="12" t="s">
        <v>238</v>
      </c>
      <c r="D199" s="5" t="s">
        <v>261</v>
      </c>
      <c r="F199" s="6">
        <v>46043</v>
      </c>
      <c r="G199" s="6">
        <v>46230</v>
      </c>
      <c r="H199" s="10">
        <f t="shared" ca="1" si="6"/>
        <v>167</v>
      </c>
      <c r="I199" s="8" t="s">
        <v>71</v>
      </c>
      <c r="J199" s="8"/>
      <c r="K199" s="8" t="s">
        <v>56</v>
      </c>
      <c r="L199" s="8" t="s">
        <v>57</v>
      </c>
    </row>
    <row r="200" spans="1:13">
      <c r="A200" s="5" t="s">
        <v>98</v>
      </c>
      <c r="C200" s="12" t="s">
        <v>238</v>
      </c>
      <c r="D200" s="5" t="s">
        <v>262</v>
      </c>
      <c r="F200" s="6">
        <v>46043</v>
      </c>
      <c r="G200" s="6">
        <v>46230</v>
      </c>
      <c r="H200" s="10">
        <f t="shared" ca="1" si="6"/>
        <v>167</v>
      </c>
      <c r="I200" s="8" t="s">
        <v>71</v>
      </c>
      <c r="J200" s="8"/>
      <c r="K200" s="8" t="s">
        <v>56</v>
      </c>
      <c r="L200" s="8" t="s">
        <v>57</v>
      </c>
    </row>
    <row r="201" spans="1:13">
      <c r="A201" s="5" t="s">
        <v>98</v>
      </c>
      <c r="C201" s="12" t="s">
        <v>238</v>
      </c>
      <c r="D201" s="5" t="s">
        <v>263</v>
      </c>
      <c r="F201" s="6">
        <v>46050</v>
      </c>
      <c r="G201" s="6">
        <v>46058</v>
      </c>
      <c r="H201" s="10" t="str">
        <f t="shared" ca="1" si="6"/>
        <v>Prazo encerrado</v>
      </c>
      <c r="I201" s="8" t="s">
        <v>71</v>
      </c>
      <c r="J201" s="8"/>
      <c r="K201" s="8" t="s">
        <v>56</v>
      </c>
      <c r="L201" s="8" t="s">
        <v>57</v>
      </c>
    </row>
    <row r="202" spans="1:13">
      <c r="A202" s="5" t="s">
        <v>98</v>
      </c>
      <c r="C202" s="12" t="s">
        <v>264</v>
      </c>
      <c r="D202" s="5" t="s">
        <v>265</v>
      </c>
      <c r="F202" s="6">
        <v>46050</v>
      </c>
      <c r="G202" s="6">
        <v>46057</v>
      </c>
      <c r="H202" s="10" t="str">
        <f t="shared" ref="H202:H204" ca="1" si="7">IF(INT(G202-TODAY())&lt;=0,"Prazo encerrado",INT(G202-TODAY()))</f>
        <v>Prazo encerrado</v>
      </c>
      <c r="I202" s="8" t="s">
        <v>71</v>
      </c>
      <c r="J202" s="8"/>
      <c r="K202" s="8" t="s">
        <v>56</v>
      </c>
      <c r="L202" s="8" t="s">
        <v>57</v>
      </c>
    </row>
    <row r="203" spans="1:13">
      <c r="A203" s="5" t="s">
        <v>98</v>
      </c>
      <c r="C203" s="12" t="s">
        <v>264</v>
      </c>
      <c r="D203" s="5" t="s">
        <v>266</v>
      </c>
      <c r="F203" s="6">
        <v>46062</v>
      </c>
      <c r="G203" s="6">
        <v>46097</v>
      </c>
      <c r="H203" s="10">
        <f t="shared" ca="1" si="7"/>
        <v>34</v>
      </c>
      <c r="I203" s="8" t="s">
        <v>71</v>
      </c>
      <c r="J203" s="8"/>
      <c r="K203" s="8" t="s">
        <v>56</v>
      </c>
      <c r="L203" s="8" t="s">
        <v>57</v>
      </c>
    </row>
    <row r="204" spans="1:13">
      <c r="A204" s="5" t="s">
        <v>98</v>
      </c>
      <c r="C204" s="12" t="s">
        <v>264</v>
      </c>
      <c r="D204" s="5" t="s">
        <v>216</v>
      </c>
      <c r="F204" s="6">
        <v>46062</v>
      </c>
      <c r="G204" s="6">
        <v>46097</v>
      </c>
      <c r="H204" s="10">
        <f t="shared" ca="1" si="7"/>
        <v>34</v>
      </c>
      <c r="I204" s="8" t="s">
        <v>71</v>
      </c>
      <c r="J204" s="8"/>
      <c r="K204" s="8" t="s">
        <v>56</v>
      </c>
      <c r="L204" s="8" t="s">
        <v>57</v>
      </c>
    </row>
    <row r="205" spans="1:13">
      <c r="A205" s="5" t="s">
        <v>13</v>
      </c>
      <c r="C205" s="12" t="s">
        <v>267</v>
      </c>
      <c r="D205" s="5" t="s">
        <v>268</v>
      </c>
      <c r="F205" s="6">
        <v>46057</v>
      </c>
      <c r="G205" s="6">
        <v>46076</v>
      </c>
      <c r="H205" s="10">
        <f t="shared" ca="1" si="1"/>
        <v>13</v>
      </c>
      <c r="I205" s="8" t="s">
        <v>16</v>
      </c>
      <c r="J205" s="8"/>
      <c r="K205" s="8" t="s">
        <v>190</v>
      </c>
      <c r="L205" s="8" t="s">
        <v>87</v>
      </c>
      <c r="M205" s="5" t="s">
        <v>269</v>
      </c>
    </row>
    <row r="206" spans="1:13">
      <c r="A206" s="5" t="s">
        <v>13</v>
      </c>
      <c r="C206" s="12" t="s">
        <v>267</v>
      </c>
      <c r="D206" s="5" t="s">
        <v>270</v>
      </c>
      <c r="F206" s="6">
        <v>46027</v>
      </c>
      <c r="G206" s="6">
        <v>46057</v>
      </c>
      <c r="H206" s="10" t="str">
        <f t="shared" ref="H206:H239" ca="1" si="8">IF(INT(G206-TODAY())&lt;=0,"Prazo encerrado",INT(G206-TODAY()))</f>
        <v>Prazo encerrado</v>
      </c>
      <c r="I206" s="8" t="s">
        <v>22</v>
      </c>
      <c r="J206" s="8"/>
      <c r="K206" s="8" t="s">
        <v>190</v>
      </c>
      <c r="L206" s="8" t="s">
        <v>87</v>
      </c>
      <c r="M206" s="5" t="s">
        <v>271</v>
      </c>
    </row>
    <row r="207" spans="1:13">
      <c r="A207" s="5" t="s">
        <v>13</v>
      </c>
      <c r="C207" s="12" t="s">
        <v>267</v>
      </c>
      <c r="D207" s="5" t="s">
        <v>272</v>
      </c>
      <c r="F207" s="6">
        <v>46028</v>
      </c>
      <c r="G207" s="6">
        <v>46057</v>
      </c>
      <c r="H207" s="10" t="str">
        <f t="shared" ca="1" si="8"/>
        <v>Prazo encerrado</v>
      </c>
      <c r="I207" s="8" t="s">
        <v>22</v>
      </c>
      <c r="J207" s="8"/>
      <c r="K207" s="8" t="s">
        <v>190</v>
      </c>
      <c r="L207" s="8" t="s">
        <v>87</v>
      </c>
      <c r="M207" s="5" t="s">
        <v>271</v>
      </c>
    </row>
    <row r="208" spans="1:13">
      <c r="A208" s="5" t="s">
        <v>13</v>
      </c>
      <c r="C208" s="12" t="s">
        <v>267</v>
      </c>
      <c r="D208" s="5" t="s">
        <v>273</v>
      </c>
      <c r="F208" s="6">
        <v>46057</v>
      </c>
      <c r="G208" s="6">
        <v>46065</v>
      </c>
      <c r="H208" s="10">
        <f t="shared" ca="1" si="8"/>
        <v>2</v>
      </c>
      <c r="I208" s="8" t="s">
        <v>22</v>
      </c>
      <c r="J208" s="8"/>
      <c r="K208" s="8" t="s">
        <v>190</v>
      </c>
      <c r="L208" s="8" t="s">
        <v>87</v>
      </c>
      <c r="M208" s="5" t="s">
        <v>274</v>
      </c>
    </row>
    <row r="209" spans="1:12">
      <c r="A209" s="5" t="s">
        <v>54</v>
      </c>
      <c r="C209" s="12" t="s">
        <v>275</v>
      </c>
      <c r="D209" s="5" t="s">
        <v>276</v>
      </c>
      <c r="F209" s="6">
        <v>46023</v>
      </c>
      <c r="G209" s="6">
        <v>46050</v>
      </c>
      <c r="H209" s="10" t="str">
        <f t="shared" ca="1" si="8"/>
        <v>Prazo encerrado</v>
      </c>
      <c r="I209" s="8" t="s">
        <v>16</v>
      </c>
      <c r="J209" s="8" t="s">
        <v>17</v>
      </c>
      <c r="K209" s="8" t="s">
        <v>18</v>
      </c>
      <c r="L209" s="8" t="s">
        <v>19</v>
      </c>
    </row>
    <row r="210" spans="1:12">
      <c r="A210" s="5" t="s">
        <v>54</v>
      </c>
      <c r="C210" s="12" t="s">
        <v>275</v>
      </c>
      <c r="D210" s="5" t="s">
        <v>277</v>
      </c>
      <c r="F210" s="6">
        <v>46023</v>
      </c>
      <c r="G210" s="6">
        <v>46050</v>
      </c>
      <c r="H210" s="10" t="str">
        <f t="shared" ca="1" si="8"/>
        <v>Prazo encerrado</v>
      </c>
      <c r="I210" s="8" t="s">
        <v>16</v>
      </c>
      <c r="J210" s="8" t="s">
        <v>17</v>
      </c>
      <c r="K210" s="8" t="s">
        <v>18</v>
      </c>
      <c r="L210" s="8" t="s">
        <v>19</v>
      </c>
    </row>
    <row r="211" spans="1:12">
      <c r="A211" s="5" t="s">
        <v>54</v>
      </c>
      <c r="C211" s="12" t="s">
        <v>275</v>
      </c>
      <c r="D211" s="5" t="s">
        <v>21</v>
      </c>
      <c r="F211" s="6">
        <v>46023</v>
      </c>
      <c r="G211" s="6">
        <v>46050</v>
      </c>
      <c r="H211" s="10" t="str">
        <f t="shared" ca="1" si="8"/>
        <v>Prazo encerrado</v>
      </c>
      <c r="I211" s="8" t="s">
        <v>16</v>
      </c>
      <c r="J211" s="8" t="s">
        <v>17</v>
      </c>
      <c r="K211" s="8" t="s">
        <v>18</v>
      </c>
      <c r="L211" s="8" t="s">
        <v>19</v>
      </c>
    </row>
    <row r="212" spans="1:12">
      <c r="A212" s="5" t="s">
        <v>54</v>
      </c>
      <c r="C212" s="12" t="s">
        <v>275</v>
      </c>
      <c r="D212" s="5" t="s">
        <v>23</v>
      </c>
      <c r="F212" s="6">
        <v>46023</v>
      </c>
      <c r="G212" s="6">
        <v>46065</v>
      </c>
      <c r="H212" s="10">
        <f t="shared" ca="1" si="8"/>
        <v>2</v>
      </c>
      <c r="I212" s="8" t="s">
        <v>16</v>
      </c>
      <c r="J212" s="8" t="s">
        <v>17</v>
      </c>
      <c r="K212" s="8" t="s">
        <v>56</v>
      </c>
      <c r="L212" s="8" t="s">
        <v>57</v>
      </c>
    </row>
    <row r="213" spans="1:12">
      <c r="A213" s="5" t="s">
        <v>54</v>
      </c>
      <c r="C213" s="12" t="s">
        <v>275</v>
      </c>
      <c r="D213" s="5" t="s">
        <v>278</v>
      </c>
      <c r="F213" s="6">
        <v>46023</v>
      </c>
      <c r="G213" s="6">
        <v>46070</v>
      </c>
      <c r="H213" s="10">
        <f t="shared" ca="1" si="8"/>
        <v>7</v>
      </c>
      <c r="I213" s="8" t="s">
        <v>16</v>
      </c>
      <c r="J213" s="8" t="s">
        <v>17</v>
      </c>
      <c r="K213" s="8" t="s">
        <v>56</v>
      </c>
      <c r="L213" s="8" t="s">
        <v>57</v>
      </c>
    </row>
    <row r="214" spans="1:12">
      <c r="A214" s="5" t="s">
        <v>54</v>
      </c>
      <c r="C214" s="12" t="s">
        <v>275</v>
      </c>
      <c r="D214" s="5" t="s">
        <v>279</v>
      </c>
      <c r="F214" s="6">
        <v>46023</v>
      </c>
      <c r="G214" s="6">
        <v>46070</v>
      </c>
      <c r="H214" s="10">
        <f t="shared" ca="1" si="8"/>
        <v>7</v>
      </c>
      <c r="I214" s="8" t="s">
        <v>16</v>
      </c>
      <c r="J214" s="8" t="s">
        <v>17</v>
      </c>
      <c r="K214" s="8" t="s">
        <v>56</v>
      </c>
      <c r="L214" s="8" t="s">
        <v>57</v>
      </c>
    </row>
    <row r="215" spans="1:12">
      <c r="A215" s="5" t="s">
        <v>54</v>
      </c>
      <c r="C215" s="12" t="s">
        <v>275</v>
      </c>
      <c r="D215" s="5" t="s">
        <v>26</v>
      </c>
      <c r="F215" s="6">
        <v>46023</v>
      </c>
      <c r="G215" s="6">
        <v>46070</v>
      </c>
      <c r="H215" s="10">
        <f t="shared" ca="1" si="8"/>
        <v>7</v>
      </c>
      <c r="I215" s="8" t="s">
        <v>16</v>
      </c>
      <c r="J215" s="8" t="s">
        <v>17</v>
      </c>
      <c r="K215" s="8" t="s">
        <v>56</v>
      </c>
      <c r="L215" s="8" t="s">
        <v>57</v>
      </c>
    </row>
    <row r="216" spans="1:12">
      <c r="A216" s="5" t="s">
        <v>54</v>
      </c>
      <c r="C216" s="12" t="s">
        <v>275</v>
      </c>
      <c r="D216" s="5" t="s">
        <v>27</v>
      </c>
      <c r="F216" s="6">
        <v>46023</v>
      </c>
      <c r="G216" s="6">
        <v>46063</v>
      </c>
      <c r="H216" s="10" t="str">
        <f t="shared" ca="1" si="8"/>
        <v>Prazo encerrado</v>
      </c>
      <c r="I216" s="8" t="s">
        <v>16</v>
      </c>
      <c r="J216" s="8" t="s">
        <v>17</v>
      </c>
      <c r="K216" s="8" t="s">
        <v>56</v>
      </c>
      <c r="L216" s="8" t="s">
        <v>57</v>
      </c>
    </row>
    <row r="217" spans="1:12">
      <c r="A217" s="5" t="s">
        <v>54</v>
      </c>
      <c r="C217" s="12" t="s">
        <v>275</v>
      </c>
      <c r="D217" s="5" t="s">
        <v>28</v>
      </c>
      <c r="F217" s="6">
        <v>46023</v>
      </c>
      <c r="G217" s="6">
        <v>46070</v>
      </c>
      <c r="H217" s="10">
        <f t="shared" ca="1" si="8"/>
        <v>7</v>
      </c>
      <c r="I217" s="8" t="s">
        <v>16</v>
      </c>
      <c r="J217" s="8" t="s">
        <v>17</v>
      </c>
      <c r="K217" s="8" t="s">
        <v>56</v>
      </c>
      <c r="L217" s="8" t="s">
        <v>57</v>
      </c>
    </row>
    <row r="218" spans="1:12">
      <c r="A218" s="5" t="s">
        <v>54</v>
      </c>
      <c r="C218" s="12" t="s">
        <v>275</v>
      </c>
      <c r="D218" s="5" t="s">
        <v>280</v>
      </c>
      <c r="F218" s="6">
        <v>46057</v>
      </c>
      <c r="G218" s="6">
        <v>46070</v>
      </c>
      <c r="H218" s="10">
        <f t="shared" ca="1" si="8"/>
        <v>7</v>
      </c>
      <c r="I218" s="8" t="s">
        <v>16</v>
      </c>
      <c r="J218" s="8" t="s">
        <v>17</v>
      </c>
      <c r="K218" s="8" t="s">
        <v>56</v>
      </c>
      <c r="L218" s="8" t="s">
        <v>57</v>
      </c>
    </row>
    <row r="219" spans="1:12">
      <c r="A219" s="5" t="s">
        <v>54</v>
      </c>
      <c r="C219" s="12" t="s">
        <v>275</v>
      </c>
      <c r="D219" s="5" t="s">
        <v>281</v>
      </c>
      <c r="F219" s="6">
        <v>46057</v>
      </c>
      <c r="G219" s="6">
        <v>46070</v>
      </c>
      <c r="H219" s="10">
        <f t="shared" ca="1" si="8"/>
        <v>7</v>
      </c>
      <c r="I219" s="8" t="s">
        <v>16</v>
      </c>
      <c r="J219" s="8" t="s">
        <v>17</v>
      </c>
      <c r="K219" s="8" t="s">
        <v>56</v>
      </c>
      <c r="L219" s="8" t="s">
        <v>57</v>
      </c>
    </row>
    <row r="220" spans="1:12">
      <c r="A220" s="5" t="s">
        <v>54</v>
      </c>
      <c r="C220" s="12" t="s">
        <v>275</v>
      </c>
      <c r="D220" s="5" t="s">
        <v>282</v>
      </c>
      <c r="F220" s="6">
        <v>46057</v>
      </c>
      <c r="G220" s="6">
        <v>46070</v>
      </c>
      <c r="H220" s="10">
        <f t="shared" ca="1" si="8"/>
        <v>7</v>
      </c>
      <c r="I220" s="8" t="s">
        <v>16</v>
      </c>
      <c r="J220" s="8" t="s">
        <v>17</v>
      </c>
      <c r="K220" s="8" t="s">
        <v>56</v>
      </c>
      <c r="L220" s="8" t="s">
        <v>57</v>
      </c>
    </row>
    <row r="221" spans="1:12">
      <c r="A221" s="5" t="s">
        <v>54</v>
      </c>
      <c r="C221" s="12" t="s">
        <v>275</v>
      </c>
      <c r="D221" s="5" t="s">
        <v>35</v>
      </c>
      <c r="F221" s="6">
        <v>46023</v>
      </c>
      <c r="G221" s="6">
        <v>46070</v>
      </c>
      <c r="H221" s="10">
        <f t="shared" ca="1" si="8"/>
        <v>7</v>
      </c>
      <c r="I221" s="8" t="s">
        <v>16</v>
      </c>
      <c r="J221" s="8" t="s">
        <v>17</v>
      </c>
      <c r="K221" s="8" t="s">
        <v>56</v>
      </c>
      <c r="L221" s="8" t="s">
        <v>57</v>
      </c>
    </row>
    <row r="222" spans="1:12">
      <c r="A222" s="5" t="s">
        <v>54</v>
      </c>
      <c r="C222" s="12" t="s">
        <v>275</v>
      </c>
      <c r="D222" s="5" t="s">
        <v>40</v>
      </c>
      <c r="F222" s="6">
        <v>46057</v>
      </c>
      <c r="G222" s="6">
        <v>46070</v>
      </c>
      <c r="H222" s="10">
        <f t="shared" ca="1" si="8"/>
        <v>7</v>
      </c>
      <c r="I222" s="8" t="s">
        <v>16</v>
      </c>
      <c r="J222" s="8" t="s">
        <v>17</v>
      </c>
      <c r="K222" s="8" t="s">
        <v>56</v>
      </c>
      <c r="L222" s="8" t="s">
        <v>57</v>
      </c>
    </row>
    <row r="223" spans="1:12">
      <c r="A223" s="5" t="s">
        <v>54</v>
      </c>
      <c r="C223" s="12" t="s">
        <v>275</v>
      </c>
      <c r="D223" s="5" t="s">
        <v>41</v>
      </c>
      <c r="F223" s="6">
        <v>46057</v>
      </c>
      <c r="G223" s="6">
        <v>46070</v>
      </c>
      <c r="H223" s="10">
        <f t="shared" ca="1" si="8"/>
        <v>7</v>
      </c>
      <c r="I223" s="8" t="s">
        <v>16</v>
      </c>
      <c r="J223" s="8" t="s">
        <v>17</v>
      </c>
      <c r="K223" s="8" t="s">
        <v>56</v>
      </c>
      <c r="L223" s="8" t="s">
        <v>57</v>
      </c>
    </row>
    <row r="224" spans="1:12">
      <c r="A224" s="5" t="s">
        <v>54</v>
      </c>
      <c r="C224" s="12" t="s">
        <v>275</v>
      </c>
      <c r="D224" s="5" t="s">
        <v>283</v>
      </c>
      <c r="F224" s="6">
        <v>46057</v>
      </c>
      <c r="G224" s="6">
        <v>46070</v>
      </c>
      <c r="H224" s="10">
        <f t="shared" ca="1" si="8"/>
        <v>7</v>
      </c>
      <c r="I224" s="8" t="s">
        <v>16</v>
      </c>
      <c r="J224" s="8" t="s">
        <v>17</v>
      </c>
      <c r="K224" s="8" t="s">
        <v>56</v>
      </c>
      <c r="L224" s="8" t="s">
        <v>57</v>
      </c>
    </row>
    <row r="225" spans="1:12">
      <c r="A225" s="5" t="s">
        <v>54</v>
      </c>
      <c r="C225" s="12" t="s">
        <v>275</v>
      </c>
      <c r="D225" s="5" t="s">
        <v>284</v>
      </c>
      <c r="F225" s="6">
        <v>46057</v>
      </c>
      <c r="G225" s="6">
        <v>46070</v>
      </c>
      <c r="H225" s="10">
        <f t="shared" ca="1" si="8"/>
        <v>7</v>
      </c>
      <c r="I225" s="8" t="s">
        <v>16</v>
      </c>
      <c r="J225" s="8" t="s">
        <v>17</v>
      </c>
      <c r="K225" s="8" t="s">
        <v>56</v>
      </c>
      <c r="L225" s="8" t="s">
        <v>57</v>
      </c>
    </row>
    <row r="226" spans="1:12">
      <c r="A226" s="5" t="s">
        <v>54</v>
      </c>
      <c r="C226" s="12" t="s">
        <v>275</v>
      </c>
      <c r="D226" s="5" t="s">
        <v>285</v>
      </c>
      <c r="F226" s="6">
        <v>46057</v>
      </c>
      <c r="G226" s="6">
        <v>46070</v>
      </c>
      <c r="H226" s="10">
        <f t="shared" ca="1" si="8"/>
        <v>7</v>
      </c>
      <c r="I226" s="8" t="s">
        <v>16</v>
      </c>
      <c r="J226" s="8" t="s">
        <v>17</v>
      </c>
      <c r="K226" s="8" t="s">
        <v>56</v>
      </c>
      <c r="L226" s="8" t="s">
        <v>57</v>
      </c>
    </row>
    <row r="227" spans="1:12">
      <c r="A227" s="5" t="s">
        <v>54</v>
      </c>
      <c r="C227" s="12" t="s">
        <v>275</v>
      </c>
      <c r="D227" s="5" t="s">
        <v>286</v>
      </c>
      <c r="F227" s="6">
        <v>46057</v>
      </c>
      <c r="G227" s="6">
        <v>46070</v>
      </c>
      <c r="H227" s="10">
        <f t="shared" ca="1" si="8"/>
        <v>7</v>
      </c>
      <c r="I227" s="8" t="s">
        <v>16</v>
      </c>
      <c r="J227" s="8" t="s">
        <v>17</v>
      </c>
      <c r="K227" s="8" t="s">
        <v>56</v>
      </c>
      <c r="L227" s="8" t="s">
        <v>57</v>
      </c>
    </row>
    <row r="228" spans="1:12">
      <c r="A228" s="5" t="s">
        <v>54</v>
      </c>
      <c r="C228" s="12" t="s">
        <v>275</v>
      </c>
      <c r="D228" s="5" t="s">
        <v>287</v>
      </c>
      <c r="F228" s="6">
        <v>46057</v>
      </c>
      <c r="G228" s="6">
        <v>46070</v>
      </c>
      <c r="H228" s="10">
        <f t="shared" ca="1" si="8"/>
        <v>7</v>
      </c>
      <c r="I228" s="8" t="s">
        <v>16</v>
      </c>
      <c r="J228" s="8" t="s">
        <v>17</v>
      </c>
      <c r="K228" s="8" t="s">
        <v>56</v>
      </c>
      <c r="L228" s="8" t="s">
        <v>57</v>
      </c>
    </row>
    <row r="229" spans="1:12">
      <c r="A229" s="5" t="s">
        <v>54</v>
      </c>
      <c r="C229" s="12" t="s">
        <v>275</v>
      </c>
      <c r="D229" s="5" t="s">
        <v>45</v>
      </c>
      <c r="F229" s="6">
        <v>46057</v>
      </c>
      <c r="G229" s="6">
        <v>46070</v>
      </c>
      <c r="H229" s="10">
        <f t="shared" ca="1" si="8"/>
        <v>7</v>
      </c>
      <c r="I229" s="8" t="s">
        <v>16</v>
      </c>
      <c r="J229" s="8" t="s">
        <v>17</v>
      </c>
      <c r="K229" s="8" t="s">
        <v>56</v>
      </c>
      <c r="L229" s="8" t="s">
        <v>57</v>
      </c>
    </row>
    <row r="230" spans="1:12">
      <c r="A230" s="5" t="s">
        <v>54</v>
      </c>
      <c r="C230" s="12" t="s">
        <v>275</v>
      </c>
      <c r="D230" s="5" t="s">
        <v>288</v>
      </c>
      <c r="F230" s="6">
        <v>46057</v>
      </c>
      <c r="G230" s="6">
        <v>46070</v>
      </c>
      <c r="H230" s="10">
        <f t="shared" ca="1" si="8"/>
        <v>7</v>
      </c>
      <c r="I230" s="8" t="s">
        <v>16</v>
      </c>
      <c r="J230" s="8" t="s">
        <v>17</v>
      </c>
      <c r="K230" s="8" t="s">
        <v>56</v>
      </c>
      <c r="L230" s="8" t="s">
        <v>57</v>
      </c>
    </row>
    <row r="231" spans="1:12">
      <c r="A231" s="5" t="s">
        <v>54</v>
      </c>
      <c r="C231" s="12" t="s">
        <v>275</v>
      </c>
      <c r="D231" s="5" t="s">
        <v>48</v>
      </c>
      <c r="F231" s="6">
        <v>46057</v>
      </c>
      <c r="G231" s="6">
        <v>46070</v>
      </c>
      <c r="H231" s="10">
        <f t="shared" ca="1" si="8"/>
        <v>7</v>
      </c>
      <c r="I231" s="8" t="s">
        <v>16</v>
      </c>
      <c r="J231" s="8" t="s">
        <v>17</v>
      </c>
      <c r="K231" s="8" t="s">
        <v>56</v>
      </c>
      <c r="L231" s="8" t="s">
        <v>57</v>
      </c>
    </row>
    <row r="232" spans="1:12">
      <c r="A232" s="5" t="s">
        <v>54</v>
      </c>
      <c r="C232" s="12" t="s">
        <v>275</v>
      </c>
      <c r="D232" s="5" t="s">
        <v>49</v>
      </c>
      <c r="F232" s="6">
        <v>46057</v>
      </c>
      <c r="G232" s="6">
        <v>46070</v>
      </c>
      <c r="H232" s="10">
        <f t="shared" ca="1" si="8"/>
        <v>7</v>
      </c>
      <c r="I232" s="8" t="s">
        <v>16</v>
      </c>
      <c r="J232" s="8" t="s">
        <v>17</v>
      </c>
      <c r="K232" s="8" t="s">
        <v>56</v>
      </c>
      <c r="L232" s="8" t="s">
        <v>57</v>
      </c>
    </row>
    <row r="233" spans="1:12">
      <c r="A233" s="5" t="s">
        <v>54</v>
      </c>
      <c r="C233" s="12" t="s">
        <v>275</v>
      </c>
      <c r="D233" s="5" t="s">
        <v>289</v>
      </c>
      <c r="F233" s="6">
        <v>46057</v>
      </c>
      <c r="G233" s="6">
        <v>46066</v>
      </c>
      <c r="H233" s="10">
        <f t="shared" ca="1" si="8"/>
        <v>3</v>
      </c>
      <c r="I233" s="8" t="s">
        <v>16</v>
      </c>
      <c r="J233" s="8" t="s">
        <v>17</v>
      </c>
      <c r="K233" s="8" t="s">
        <v>56</v>
      </c>
      <c r="L233" s="8" t="s">
        <v>57</v>
      </c>
    </row>
    <row r="234" spans="1:12">
      <c r="A234" s="5" t="s">
        <v>54</v>
      </c>
      <c r="C234" s="12" t="s">
        <v>275</v>
      </c>
      <c r="D234" s="5" t="s">
        <v>290</v>
      </c>
      <c r="F234" s="6">
        <v>46057</v>
      </c>
      <c r="G234" s="6">
        <v>46070</v>
      </c>
      <c r="H234" s="10">
        <f t="shared" ca="1" si="8"/>
        <v>7</v>
      </c>
      <c r="I234" s="8" t="s">
        <v>16</v>
      </c>
      <c r="J234" s="8" t="s">
        <v>79</v>
      </c>
      <c r="K234" s="8" t="s">
        <v>56</v>
      </c>
      <c r="L234" s="8" t="s">
        <v>57</v>
      </c>
    </row>
    <row r="235" spans="1:12">
      <c r="A235" s="5" t="s">
        <v>54</v>
      </c>
      <c r="C235" s="12" t="s">
        <v>275</v>
      </c>
      <c r="D235" s="5" t="s">
        <v>55</v>
      </c>
      <c r="F235" s="6">
        <v>46057</v>
      </c>
      <c r="G235" s="6">
        <v>46070</v>
      </c>
      <c r="H235" s="10">
        <f t="shared" ca="1" si="8"/>
        <v>7</v>
      </c>
      <c r="I235" s="8" t="s">
        <v>16</v>
      </c>
      <c r="J235" s="8" t="s">
        <v>17</v>
      </c>
      <c r="K235" s="8" t="s">
        <v>56</v>
      </c>
      <c r="L235" s="8" t="s">
        <v>57</v>
      </c>
    </row>
    <row r="236" spans="1:12">
      <c r="A236" s="5" t="s">
        <v>54</v>
      </c>
      <c r="C236" s="12" t="s">
        <v>275</v>
      </c>
      <c r="D236" s="5" t="s">
        <v>291</v>
      </c>
      <c r="F236" s="6">
        <v>46057</v>
      </c>
      <c r="G236" s="6">
        <v>46070</v>
      </c>
      <c r="H236" s="10">
        <f t="shared" ca="1" si="8"/>
        <v>7</v>
      </c>
      <c r="I236" s="8" t="s">
        <v>16</v>
      </c>
      <c r="J236" s="8" t="s">
        <v>17</v>
      </c>
      <c r="K236" s="8" t="s">
        <v>56</v>
      </c>
      <c r="L236" s="8" t="s">
        <v>57</v>
      </c>
    </row>
    <row r="237" spans="1:12">
      <c r="A237" s="5" t="s">
        <v>54</v>
      </c>
      <c r="C237" s="12" t="s">
        <v>275</v>
      </c>
      <c r="D237" s="5" t="s">
        <v>292</v>
      </c>
      <c r="F237" s="6">
        <v>46057</v>
      </c>
      <c r="G237" s="6">
        <v>46070</v>
      </c>
      <c r="H237" s="10">
        <f t="shared" ca="1" si="8"/>
        <v>7</v>
      </c>
      <c r="I237" s="8" t="s">
        <v>16</v>
      </c>
      <c r="J237" s="8" t="s">
        <v>17</v>
      </c>
      <c r="K237" s="8" t="s">
        <v>56</v>
      </c>
      <c r="L237" s="8" t="s">
        <v>57</v>
      </c>
    </row>
    <row r="238" spans="1:12">
      <c r="A238" s="5" t="s">
        <v>54</v>
      </c>
      <c r="C238" s="12" t="s">
        <v>275</v>
      </c>
      <c r="D238" s="5" t="s">
        <v>293</v>
      </c>
      <c r="F238" s="6">
        <v>46057</v>
      </c>
      <c r="G238" s="6">
        <v>46070</v>
      </c>
      <c r="H238" s="10">
        <f t="shared" ca="1" si="8"/>
        <v>7</v>
      </c>
      <c r="I238" s="8" t="s">
        <v>16</v>
      </c>
      <c r="J238" s="8" t="s">
        <v>17</v>
      </c>
      <c r="K238" s="8" t="s">
        <v>56</v>
      </c>
      <c r="L238" s="8" t="s">
        <v>57</v>
      </c>
    </row>
    <row r="239" spans="1:12">
      <c r="A239" s="5" t="s">
        <v>54</v>
      </c>
      <c r="C239" s="12" t="s">
        <v>275</v>
      </c>
      <c r="D239" s="5" t="s">
        <v>294</v>
      </c>
      <c r="F239" s="6">
        <v>46057</v>
      </c>
      <c r="G239" s="6">
        <v>46070</v>
      </c>
      <c r="H239" s="10">
        <f t="shared" ca="1" si="8"/>
        <v>7</v>
      </c>
      <c r="I239" s="8" t="s">
        <v>16</v>
      </c>
      <c r="J239" s="8" t="s">
        <v>17</v>
      </c>
      <c r="K239" s="8" t="s">
        <v>56</v>
      </c>
      <c r="L239" s="8" t="s">
        <v>57</v>
      </c>
    </row>
    <row r="240" spans="1:12">
      <c r="A240" s="5" t="s">
        <v>54</v>
      </c>
      <c r="C240" s="12" t="s">
        <v>275</v>
      </c>
      <c r="D240" s="5" t="s">
        <v>295</v>
      </c>
      <c r="F240" s="6">
        <v>46058</v>
      </c>
      <c r="G240" s="6">
        <v>46070</v>
      </c>
      <c r="H240" s="10">
        <f t="shared" ref="H240:H243" ca="1" si="9">IF(INT(G240-TODAY())&lt;=0,"Prazo encerrado",INT(G240-TODAY()))</f>
        <v>7</v>
      </c>
      <c r="I240" s="8" t="s">
        <v>16</v>
      </c>
      <c r="J240" s="8" t="s">
        <v>17</v>
      </c>
      <c r="K240" s="8" t="s">
        <v>56</v>
      </c>
      <c r="L240" s="8" t="s">
        <v>57</v>
      </c>
    </row>
    <row r="241" spans="1:13">
      <c r="A241" s="5" t="s">
        <v>54</v>
      </c>
      <c r="C241" s="12" t="s">
        <v>275</v>
      </c>
      <c r="D241" s="5" t="s">
        <v>296</v>
      </c>
      <c r="F241" s="6">
        <v>46058</v>
      </c>
      <c r="G241" s="6">
        <v>46070</v>
      </c>
      <c r="H241" s="10">
        <f t="shared" ca="1" si="9"/>
        <v>7</v>
      </c>
      <c r="I241" s="8" t="s">
        <v>16</v>
      </c>
      <c r="J241" s="8" t="s">
        <v>17</v>
      </c>
      <c r="K241" s="8" t="s">
        <v>56</v>
      </c>
      <c r="L241" s="8" t="s">
        <v>57</v>
      </c>
    </row>
    <row r="242" spans="1:13">
      <c r="A242" s="5" t="s">
        <v>54</v>
      </c>
      <c r="C242" s="12" t="s">
        <v>275</v>
      </c>
      <c r="D242" s="5" t="s">
        <v>297</v>
      </c>
      <c r="F242" s="6">
        <v>46058</v>
      </c>
      <c r="G242" s="6">
        <v>46070</v>
      </c>
      <c r="H242" s="10">
        <f t="shared" ca="1" si="9"/>
        <v>7</v>
      </c>
      <c r="I242" s="8" t="s">
        <v>16</v>
      </c>
      <c r="J242" s="8" t="s">
        <v>17</v>
      </c>
      <c r="K242" s="8" t="s">
        <v>56</v>
      </c>
      <c r="L242" s="8" t="s">
        <v>57</v>
      </c>
    </row>
    <row r="243" spans="1:13">
      <c r="A243" s="5" t="s">
        <v>54</v>
      </c>
      <c r="C243" s="12" t="s">
        <v>275</v>
      </c>
      <c r="D243" s="5" t="s">
        <v>298</v>
      </c>
      <c r="F243" s="6">
        <v>46058</v>
      </c>
      <c r="G243" s="6">
        <v>46070</v>
      </c>
      <c r="H243" s="10">
        <f t="shared" ca="1" si="9"/>
        <v>7</v>
      </c>
      <c r="I243" s="8" t="s">
        <v>16</v>
      </c>
      <c r="J243" s="8" t="s">
        <v>17</v>
      </c>
      <c r="K243" s="8" t="s">
        <v>56</v>
      </c>
      <c r="L243" s="8" t="s">
        <v>57</v>
      </c>
    </row>
    <row r="244" spans="1:13">
      <c r="A244" s="5" t="s">
        <v>54</v>
      </c>
      <c r="C244" s="12" t="s">
        <v>275</v>
      </c>
      <c r="D244" s="5" t="s">
        <v>299</v>
      </c>
      <c r="F244" s="6">
        <v>46057</v>
      </c>
      <c r="G244" s="6">
        <v>46070</v>
      </c>
      <c r="H244" s="10">
        <f t="shared" ref="H244:H275" ca="1" si="10">IF(INT(G244-TODAY())&lt;=0,"Prazo encerrado",INT(G244-TODAY()))</f>
        <v>7</v>
      </c>
      <c r="I244" s="8" t="s">
        <v>16</v>
      </c>
      <c r="J244" s="8" t="s">
        <v>17</v>
      </c>
      <c r="K244" s="8" t="s">
        <v>56</v>
      </c>
      <c r="L244" s="8" t="s">
        <v>57</v>
      </c>
    </row>
    <row r="245" spans="1:13">
      <c r="A245" s="5" t="s">
        <v>13</v>
      </c>
      <c r="C245" s="12" t="s">
        <v>300</v>
      </c>
      <c r="D245" s="5" t="s">
        <v>301</v>
      </c>
      <c r="F245" s="6">
        <v>46049</v>
      </c>
      <c r="G245" s="6">
        <v>46057</v>
      </c>
      <c r="H245" s="10" t="str">
        <f t="shared" ca="1" si="10"/>
        <v>Prazo encerrado</v>
      </c>
      <c r="I245" s="8" t="s">
        <v>16</v>
      </c>
      <c r="J245" s="8"/>
      <c r="K245" s="8" t="s">
        <v>56</v>
      </c>
      <c r="L245" s="8" t="s">
        <v>214</v>
      </c>
    </row>
    <row r="246" spans="1:13">
      <c r="A246" s="5" t="s">
        <v>13</v>
      </c>
      <c r="C246" s="12" t="s">
        <v>302</v>
      </c>
      <c r="D246" s="5" t="s">
        <v>303</v>
      </c>
      <c r="F246" s="6">
        <v>46057</v>
      </c>
      <c r="G246" s="6">
        <v>46065</v>
      </c>
      <c r="H246" s="10">
        <f t="shared" ca="1" si="10"/>
        <v>2</v>
      </c>
      <c r="I246" s="8" t="s">
        <v>22</v>
      </c>
      <c r="J246" s="8"/>
      <c r="K246" s="8" t="s">
        <v>56</v>
      </c>
      <c r="L246" s="8" t="s">
        <v>57</v>
      </c>
    </row>
    <row r="247" spans="1:13">
      <c r="A247" s="5" t="s">
        <v>13</v>
      </c>
      <c r="C247" s="12" t="s">
        <v>304</v>
      </c>
      <c r="D247" s="5" t="s">
        <v>305</v>
      </c>
      <c r="F247" s="6">
        <v>46034</v>
      </c>
      <c r="G247" s="6">
        <v>46064</v>
      </c>
      <c r="H247" s="10">
        <f t="shared" ca="1" si="10"/>
        <v>1</v>
      </c>
      <c r="I247" s="8" t="s">
        <v>22</v>
      </c>
      <c r="J247" s="8"/>
      <c r="K247" s="8" t="s">
        <v>56</v>
      </c>
      <c r="L247" s="8" t="s">
        <v>57</v>
      </c>
      <c r="M247" s="5" t="s">
        <v>306</v>
      </c>
    </row>
    <row r="248" spans="1:13">
      <c r="A248" s="5" t="s">
        <v>13</v>
      </c>
      <c r="C248" s="12" t="s">
        <v>307</v>
      </c>
      <c r="D248" s="5" t="s">
        <v>308</v>
      </c>
      <c r="F248" s="6">
        <v>46058</v>
      </c>
      <c r="G248" s="6">
        <v>46065</v>
      </c>
      <c r="H248" s="10">
        <f t="shared" ca="1" si="10"/>
        <v>2</v>
      </c>
      <c r="I248" s="8" t="s">
        <v>16</v>
      </c>
      <c r="J248" s="8"/>
      <c r="K248" s="8" t="s">
        <v>56</v>
      </c>
      <c r="L248" s="8" t="s">
        <v>57</v>
      </c>
      <c r="M248" s="5" t="s">
        <v>309</v>
      </c>
    </row>
    <row r="249" spans="1:13">
      <c r="A249" s="5" t="s">
        <v>13</v>
      </c>
      <c r="C249" s="12" t="s">
        <v>307</v>
      </c>
      <c r="D249" s="5" t="s">
        <v>308</v>
      </c>
      <c r="F249" s="6">
        <v>46065</v>
      </c>
      <c r="G249" s="6">
        <v>46080</v>
      </c>
      <c r="H249" s="10">
        <f t="shared" ca="1" si="10"/>
        <v>17</v>
      </c>
      <c r="I249" s="8" t="s">
        <v>16</v>
      </c>
      <c r="J249" s="8"/>
      <c r="K249" s="8" t="s">
        <v>56</v>
      </c>
      <c r="L249" s="8" t="s">
        <v>57</v>
      </c>
      <c r="M249" s="5" t="s">
        <v>309</v>
      </c>
    </row>
    <row r="250" spans="1:13">
      <c r="A250" s="5" t="s">
        <v>13</v>
      </c>
      <c r="C250" s="12" t="s">
        <v>307</v>
      </c>
      <c r="D250" s="5" t="s">
        <v>308</v>
      </c>
      <c r="F250" s="6">
        <v>46080</v>
      </c>
      <c r="G250" s="6">
        <v>46102</v>
      </c>
      <c r="H250" s="10">
        <f t="shared" ca="1" si="10"/>
        <v>39</v>
      </c>
      <c r="I250" s="8" t="s">
        <v>16</v>
      </c>
      <c r="J250" s="8"/>
      <c r="K250" s="8" t="s">
        <v>56</v>
      </c>
      <c r="L250" s="8" t="s">
        <v>57</v>
      </c>
      <c r="M250" s="5" t="s">
        <v>309</v>
      </c>
    </row>
    <row r="251" spans="1:13">
      <c r="A251" s="5" t="s">
        <v>13</v>
      </c>
      <c r="C251" s="12" t="s">
        <v>307</v>
      </c>
      <c r="D251" s="5" t="s">
        <v>308</v>
      </c>
      <c r="F251" s="6">
        <v>46102</v>
      </c>
      <c r="G251" s="6">
        <v>46116</v>
      </c>
      <c r="H251" s="10">
        <f t="shared" ca="1" si="10"/>
        <v>53</v>
      </c>
      <c r="I251" s="8" t="s">
        <v>16</v>
      </c>
      <c r="J251" s="8"/>
      <c r="K251" s="8" t="s">
        <v>56</v>
      </c>
      <c r="L251" s="8" t="s">
        <v>57</v>
      </c>
      <c r="M251" s="5" t="s">
        <v>309</v>
      </c>
    </row>
    <row r="252" spans="1:13">
      <c r="A252" s="5" t="s">
        <v>310</v>
      </c>
      <c r="C252" s="12" t="s">
        <v>311</v>
      </c>
      <c r="D252" s="5" t="s">
        <v>312</v>
      </c>
      <c r="F252" s="6">
        <v>46037</v>
      </c>
      <c r="G252" s="6">
        <v>46048</v>
      </c>
      <c r="H252" s="10" t="str">
        <f t="shared" ca="1" si="10"/>
        <v>Prazo encerrado</v>
      </c>
      <c r="I252" s="9" t="s">
        <v>16</v>
      </c>
      <c r="K252" s="9" t="s">
        <v>18</v>
      </c>
      <c r="L252" s="8" t="s">
        <v>19</v>
      </c>
    </row>
    <row r="253" spans="1:13">
      <c r="A253" s="5" t="s">
        <v>310</v>
      </c>
      <c r="C253" s="12" t="s">
        <v>311</v>
      </c>
      <c r="D253" s="5" t="s">
        <v>313</v>
      </c>
      <c r="F253" s="6">
        <v>46037</v>
      </c>
      <c r="G253" s="6">
        <v>46048</v>
      </c>
      <c r="H253" s="10" t="str">
        <f t="shared" ca="1" si="10"/>
        <v>Prazo encerrado</v>
      </c>
      <c r="I253" s="9" t="s">
        <v>16</v>
      </c>
      <c r="K253" s="9" t="s">
        <v>18</v>
      </c>
      <c r="L253" s="8" t="s">
        <v>19</v>
      </c>
    </row>
    <row r="254" spans="1:13">
      <c r="A254" s="5" t="s">
        <v>310</v>
      </c>
      <c r="C254" s="12" t="s">
        <v>311</v>
      </c>
      <c r="D254" s="5" t="s">
        <v>314</v>
      </c>
      <c r="F254" s="6">
        <v>46037</v>
      </c>
      <c r="G254" s="6">
        <v>46048</v>
      </c>
      <c r="H254" s="10" t="str">
        <f t="shared" ca="1" si="10"/>
        <v>Prazo encerrado</v>
      </c>
      <c r="I254" s="9" t="s">
        <v>16</v>
      </c>
      <c r="K254" s="9" t="s">
        <v>18</v>
      </c>
      <c r="L254" s="8" t="s">
        <v>19</v>
      </c>
    </row>
    <row r="255" spans="1:13">
      <c r="A255" s="5" t="s">
        <v>310</v>
      </c>
      <c r="C255" s="12" t="s">
        <v>311</v>
      </c>
      <c r="D255" s="5" t="s">
        <v>315</v>
      </c>
      <c r="F255" s="6">
        <v>46050</v>
      </c>
      <c r="G255" s="6">
        <v>46055</v>
      </c>
      <c r="H255" s="10" t="str">
        <f t="shared" ca="1" si="10"/>
        <v>Prazo encerrado</v>
      </c>
      <c r="I255" s="9" t="s">
        <v>16</v>
      </c>
      <c r="K255" s="9" t="s">
        <v>18</v>
      </c>
      <c r="L255" s="8" t="s">
        <v>19</v>
      </c>
    </row>
    <row r="256" spans="1:13">
      <c r="A256" s="5" t="s">
        <v>310</v>
      </c>
      <c r="C256" s="12" t="s">
        <v>311</v>
      </c>
      <c r="D256" s="5" t="s">
        <v>316</v>
      </c>
      <c r="F256" s="6">
        <v>46050</v>
      </c>
      <c r="G256" s="6">
        <v>46055</v>
      </c>
      <c r="H256" s="10" t="str">
        <f t="shared" ca="1" si="10"/>
        <v>Prazo encerrado</v>
      </c>
      <c r="I256" s="9" t="s">
        <v>16</v>
      </c>
      <c r="K256" s="9" t="s">
        <v>18</v>
      </c>
      <c r="L256" s="8" t="s">
        <v>19</v>
      </c>
    </row>
    <row r="257" spans="1:12">
      <c r="A257" s="5" t="s">
        <v>310</v>
      </c>
      <c r="C257" s="12" t="s">
        <v>311</v>
      </c>
      <c r="D257" s="5" t="s">
        <v>317</v>
      </c>
      <c r="F257" s="6">
        <v>46050</v>
      </c>
      <c r="G257" s="6">
        <v>46055</v>
      </c>
      <c r="H257" s="10" t="str">
        <f t="shared" ca="1" si="10"/>
        <v>Prazo encerrado</v>
      </c>
      <c r="I257" s="9" t="s">
        <v>16</v>
      </c>
      <c r="K257" s="9" t="s">
        <v>18</v>
      </c>
      <c r="L257" s="8" t="s">
        <v>19</v>
      </c>
    </row>
    <row r="258" spans="1:12">
      <c r="A258" s="5" t="s">
        <v>310</v>
      </c>
      <c r="C258" s="12" t="s">
        <v>311</v>
      </c>
      <c r="D258" s="5" t="s">
        <v>318</v>
      </c>
      <c r="F258" s="6">
        <v>46050</v>
      </c>
      <c r="G258" s="6">
        <v>46055</v>
      </c>
      <c r="H258" s="10" t="str">
        <f t="shared" ca="1" si="10"/>
        <v>Prazo encerrado</v>
      </c>
      <c r="I258" s="9" t="s">
        <v>16</v>
      </c>
      <c r="K258" s="9" t="s">
        <v>18</v>
      </c>
      <c r="L258" s="8" t="s">
        <v>19</v>
      </c>
    </row>
    <row r="259" spans="1:12">
      <c r="A259" s="5" t="s">
        <v>310</v>
      </c>
      <c r="C259" s="12" t="s">
        <v>311</v>
      </c>
      <c r="D259" s="5" t="s">
        <v>319</v>
      </c>
      <c r="F259" s="6">
        <v>46050</v>
      </c>
      <c r="G259" s="6">
        <v>46055</v>
      </c>
      <c r="H259" s="10" t="str">
        <f t="shared" ca="1" si="10"/>
        <v>Prazo encerrado</v>
      </c>
      <c r="I259" s="9" t="s">
        <v>16</v>
      </c>
      <c r="K259" s="9" t="s">
        <v>18</v>
      </c>
      <c r="L259" s="8" t="s">
        <v>19</v>
      </c>
    </row>
    <row r="260" spans="1:12">
      <c r="A260" s="5" t="s">
        <v>310</v>
      </c>
      <c r="C260" s="12" t="s">
        <v>311</v>
      </c>
      <c r="D260" s="5" t="s">
        <v>320</v>
      </c>
      <c r="F260" s="6">
        <v>46050</v>
      </c>
      <c r="G260" s="6">
        <v>46055</v>
      </c>
      <c r="H260" s="10" t="str">
        <f t="shared" ca="1" si="10"/>
        <v>Prazo encerrado</v>
      </c>
      <c r="I260" s="9" t="s">
        <v>16</v>
      </c>
      <c r="K260" s="9" t="s">
        <v>18</v>
      </c>
      <c r="L260" s="8" t="s">
        <v>19</v>
      </c>
    </row>
    <row r="261" spans="1:12">
      <c r="A261" s="5" t="s">
        <v>310</v>
      </c>
      <c r="C261" s="12" t="s">
        <v>311</v>
      </c>
      <c r="D261" s="5" t="s">
        <v>321</v>
      </c>
      <c r="F261" s="6">
        <v>46050</v>
      </c>
      <c r="G261" s="6">
        <v>46055</v>
      </c>
      <c r="H261" s="10" t="str">
        <f t="shared" ca="1" si="10"/>
        <v>Prazo encerrado</v>
      </c>
      <c r="I261" s="9" t="s">
        <v>16</v>
      </c>
      <c r="K261" s="9" t="s">
        <v>18</v>
      </c>
      <c r="L261" s="8" t="s">
        <v>19</v>
      </c>
    </row>
    <row r="262" spans="1:12">
      <c r="A262" s="5" t="s">
        <v>310</v>
      </c>
      <c r="C262" s="12" t="s">
        <v>311</v>
      </c>
      <c r="D262" s="5" t="s">
        <v>322</v>
      </c>
      <c r="F262" s="6">
        <v>46050</v>
      </c>
      <c r="G262" s="6">
        <v>46057</v>
      </c>
      <c r="H262" s="10" t="str">
        <f t="shared" ca="1" si="10"/>
        <v>Prazo encerrado</v>
      </c>
      <c r="I262" s="9" t="s">
        <v>16</v>
      </c>
      <c r="K262" s="9" t="s">
        <v>56</v>
      </c>
      <c r="L262" s="9" t="s">
        <v>87</v>
      </c>
    </row>
    <row r="263" spans="1:12">
      <c r="A263" s="5" t="s">
        <v>310</v>
      </c>
      <c r="C263" s="12" t="s">
        <v>311</v>
      </c>
      <c r="D263" s="5" t="s">
        <v>323</v>
      </c>
      <c r="F263" s="6">
        <v>46050</v>
      </c>
      <c r="G263" s="6">
        <v>46066</v>
      </c>
      <c r="H263" s="10">
        <f t="shared" ca="1" si="10"/>
        <v>3</v>
      </c>
      <c r="I263" s="9" t="s">
        <v>16</v>
      </c>
      <c r="K263" s="9" t="s">
        <v>56</v>
      </c>
      <c r="L263" s="9" t="s">
        <v>57</v>
      </c>
    </row>
    <row r="264" spans="1:12">
      <c r="A264" s="5" t="s">
        <v>310</v>
      </c>
      <c r="C264" s="12" t="s">
        <v>311</v>
      </c>
      <c r="D264" s="5" t="s">
        <v>324</v>
      </c>
      <c r="F264" s="6">
        <v>46050</v>
      </c>
      <c r="G264" s="6">
        <v>46057</v>
      </c>
      <c r="H264" s="10" t="str">
        <f t="shared" ca="1" si="10"/>
        <v>Prazo encerrado</v>
      </c>
      <c r="I264" s="9" t="s">
        <v>16</v>
      </c>
      <c r="K264" s="9" t="s">
        <v>56</v>
      </c>
      <c r="L264" s="9" t="s">
        <v>87</v>
      </c>
    </row>
    <row r="265" spans="1:12">
      <c r="A265" s="5" t="s">
        <v>310</v>
      </c>
      <c r="C265" s="12" t="s">
        <v>311</v>
      </c>
      <c r="D265" s="5" t="s">
        <v>325</v>
      </c>
      <c r="F265" s="6">
        <v>46050</v>
      </c>
      <c r="G265" s="6">
        <v>46069</v>
      </c>
      <c r="H265" s="10">
        <f t="shared" ca="1" si="10"/>
        <v>6</v>
      </c>
      <c r="I265" s="9" t="s">
        <v>16</v>
      </c>
      <c r="K265" s="9" t="s">
        <v>56</v>
      </c>
      <c r="L265" s="9" t="s">
        <v>57</v>
      </c>
    </row>
    <row r="266" spans="1:12">
      <c r="A266" s="5" t="s">
        <v>310</v>
      </c>
      <c r="C266" s="12" t="s">
        <v>311</v>
      </c>
      <c r="D266" s="5" t="s">
        <v>326</v>
      </c>
      <c r="F266" s="6">
        <v>46050</v>
      </c>
      <c r="G266" s="6">
        <v>46073</v>
      </c>
      <c r="H266" s="10">
        <f t="shared" ca="1" si="10"/>
        <v>10</v>
      </c>
      <c r="I266" s="9" t="s">
        <v>16</v>
      </c>
      <c r="K266" s="9" t="s">
        <v>56</v>
      </c>
      <c r="L266" s="9" t="s">
        <v>57</v>
      </c>
    </row>
    <row r="267" spans="1:12">
      <c r="A267" s="5" t="s">
        <v>310</v>
      </c>
      <c r="C267" s="12" t="s">
        <v>311</v>
      </c>
      <c r="D267" s="5" t="s">
        <v>327</v>
      </c>
      <c r="F267" s="6">
        <v>46050</v>
      </c>
      <c r="G267" s="6">
        <v>46083</v>
      </c>
      <c r="H267" s="10">
        <f t="shared" ca="1" si="10"/>
        <v>20</v>
      </c>
      <c r="I267" s="9" t="s">
        <v>16</v>
      </c>
      <c r="K267" s="9" t="s">
        <v>56</v>
      </c>
      <c r="L267" s="9" t="s">
        <v>57</v>
      </c>
    </row>
    <row r="268" spans="1:12">
      <c r="A268" s="5" t="s">
        <v>310</v>
      </c>
      <c r="C268" s="12" t="s">
        <v>311</v>
      </c>
      <c r="D268" s="5" t="s">
        <v>328</v>
      </c>
      <c r="F268" s="6">
        <v>46050</v>
      </c>
      <c r="G268" s="6">
        <v>46087</v>
      </c>
      <c r="H268" s="10">
        <f t="shared" ca="1" si="10"/>
        <v>24</v>
      </c>
      <c r="I268" s="9" t="s">
        <v>16</v>
      </c>
      <c r="K268" s="9" t="s">
        <v>56</v>
      </c>
      <c r="L268" s="9" t="s">
        <v>57</v>
      </c>
    </row>
    <row r="269" spans="1:12">
      <c r="A269" s="5" t="s">
        <v>310</v>
      </c>
      <c r="C269" s="12" t="s">
        <v>311</v>
      </c>
      <c r="D269" s="5" t="s">
        <v>329</v>
      </c>
      <c r="F269" s="6">
        <v>46050</v>
      </c>
      <c r="G269" s="6">
        <v>46104</v>
      </c>
      <c r="H269" s="10">
        <f t="shared" ca="1" si="10"/>
        <v>41</v>
      </c>
      <c r="I269" s="9" t="s">
        <v>16</v>
      </c>
      <c r="K269" s="9" t="s">
        <v>56</v>
      </c>
      <c r="L269" s="9" t="s">
        <v>57</v>
      </c>
    </row>
    <row r="270" spans="1:12">
      <c r="A270" s="5" t="s">
        <v>310</v>
      </c>
      <c r="C270" s="12" t="s">
        <v>311</v>
      </c>
      <c r="D270" s="5" t="s">
        <v>330</v>
      </c>
      <c r="F270" s="6">
        <v>46050</v>
      </c>
      <c r="G270" s="6">
        <v>46107</v>
      </c>
      <c r="H270" s="10">
        <f t="shared" ca="1" si="10"/>
        <v>44</v>
      </c>
      <c r="I270" s="9" t="s">
        <v>16</v>
      </c>
      <c r="K270" s="9" t="s">
        <v>56</v>
      </c>
      <c r="L270" s="9" t="s">
        <v>57</v>
      </c>
    </row>
    <row r="271" spans="1:12">
      <c r="A271" s="5" t="s">
        <v>310</v>
      </c>
      <c r="C271" s="12" t="s">
        <v>311</v>
      </c>
      <c r="D271" s="5" t="s">
        <v>331</v>
      </c>
      <c r="F271" s="6">
        <v>46050</v>
      </c>
      <c r="G271" s="6">
        <v>46118</v>
      </c>
      <c r="H271" s="10">
        <f t="shared" ca="1" si="10"/>
        <v>55</v>
      </c>
      <c r="I271" s="9" t="s">
        <v>16</v>
      </c>
      <c r="K271" s="9" t="s">
        <v>56</v>
      </c>
      <c r="L271" s="9" t="s">
        <v>57</v>
      </c>
    </row>
    <row r="272" spans="1:12">
      <c r="A272" s="5" t="s">
        <v>310</v>
      </c>
      <c r="C272" s="12" t="s">
        <v>311</v>
      </c>
      <c r="D272" s="5" t="s">
        <v>332</v>
      </c>
      <c r="F272" s="6">
        <v>46050</v>
      </c>
      <c r="G272" s="6">
        <v>46121</v>
      </c>
      <c r="H272" s="10">
        <f t="shared" ca="1" si="10"/>
        <v>58</v>
      </c>
      <c r="I272" s="9" t="s">
        <v>16</v>
      </c>
      <c r="K272" s="9" t="s">
        <v>56</v>
      </c>
      <c r="L272" s="9" t="s">
        <v>57</v>
      </c>
    </row>
    <row r="273" spans="1:12">
      <c r="A273" s="5" t="s">
        <v>310</v>
      </c>
      <c r="C273" s="12" t="s">
        <v>311</v>
      </c>
      <c r="D273" s="5" t="s">
        <v>333</v>
      </c>
      <c r="F273" s="6">
        <v>46050</v>
      </c>
      <c r="G273" s="6">
        <v>46132</v>
      </c>
      <c r="H273" s="10">
        <f t="shared" ca="1" si="10"/>
        <v>69</v>
      </c>
      <c r="I273" s="9" t="s">
        <v>16</v>
      </c>
      <c r="K273" s="9" t="s">
        <v>56</v>
      </c>
      <c r="L273" s="9" t="s">
        <v>57</v>
      </c>
    </row>
    <row r="274" spans="1:12">
      <c r="A274" s="5" t="s">
        <v>310</v>
      </c>
      <c r="C274" s="12" t="s">
        <v>311</v>
      </c>
      <c r="D274" s="5" t="s">
        <v>334</v>
      </c>
      <c r="F274" s="6">
        <v>46050</v>
      </c>
      <c r="G274" s="6">
        <v>46135</v>
      </c>
      <c r="H274" s="10">
        <f t="shared" ca="1" si="10"/>
        <v>72</v>
      </c>
      <c r="I274" s="9" t="s">
        <v>16</v>
      </c>
      <c r="K274" s="9" t="s">
        <v>56</v>
      </c>
      <c r="L274" s="9" t="s">
        <v>57</v>
      </c>
    </row>
    <row r="275" spans="1:12">
      <c r="A275" s="5" t="s">
        <v>310</v>
      </c>
      <c r="C275" s="12" t="s">
        <v>311</v>
      </c>
      <c r="D275" s="5" t="s">
        <v>335</v>
      </c>
      <c r="F275" s="6">
        <v>46050</v>
      </c>
      <c r="G275" s="6">
        <v>46057</v>
      </c>
      <c r="H275" s="10" t="str">
        <f t="shared" ca="1" si="10"/>
        <v>Prazo encerrado</v>
      </c>
      <c r="I275" s="9" t="s">
        <v>16</v>
      </c>
      <c r="K275" s="9" t="s">
        <v>56</v>
      </c>
      <c r="L275" s="9" t="s">
        <v>87</v>
      </c>
    </row>
    <row r="276" spans="1:12">
      <c r="A276" s="5" t="s">
        <v>310</v>
      </c>
      <c r="C276" s="12" t="s">
        <v>311</v>
      </c>
      <c r="D276" s="5" t="s">
        <v>336</v>
      </c>
      <c r="F276" s="6">
        <v>46050</v>
      </c>
      <c r="G276" s="6">
        <v>46057</v>
      </c>
      <c r="H276" s="10" t="str">
        <f t="shared" ref="H276:H294" ca="1" si="11">IF(INT(G276-TODAY())&lt;=0,"Prazo encerrado",INT(G276-TODAY()))</f>
        <v>Prazo encerrado</v>
      </c>
      <c r="I276" s="9" t="s">
        <v>16</v>
      </c>
      <c r="K276" s="9" t="s">
        <v>56</v>
      </c>
      <c r="L276" s="9" t="s">
        <v>87</v>
      </c>
    </row>
    <row r="277" spans="1:12">
      <c r="A277" s="5" t="s">
        <v>310</v>
      </c>
      <c r="C277" s="12" t="s">
        <v>311</v>
      </c>
      <c r="D277" s="5" t="s">
        <v>337</v>
      </c>
      <c r="F277" s="6">
        <v>46050</v>
      </c>
      <c r="G277" s="6">
        <v>46073</v>
      </c>
      <c r="H277" s="10">
        <f t="shared" ca="1" si="11"/>
        <v>10</v>
      </c>
      <c r="I277" s="9" t="s">
        <v>16</v>
      </c>
      <c r="K277" s="9" t="s">
        <v>56</v>
      </c>
      <c r="L277" s="9" t="s">
        <v>57</v>
      </c>
    </row>
    <row r="278" spans="1:12">
      <c r="A278" s="5" t="s">
        <v>310</v>
      </c>
      <c r="C278" s="12" t="s">
        <v>311</v>
      </c>
      <c r="D278" s="5" t="s">
        <v>338</v>
      </c>
      <c r="F278" s="6">
        <v>46050</v>
      </c>
      <c r="G278" s="6">
        <v>46073</v>
      </c>
      <c r="H278" s="10">
        <f t="shared" ca="1" si="11"/>
        <v>10</v>
      </c>
      <c r="I278" s="9" t="s">
        <v>16</v>
      </c>
      <c r="K278" s="9" t="s">
        <v>56</v>
      </c>
      <c r="L278" s="9" t="s">
        <v>57</v>
      </c>
    </row>
    <row r="279" spans="1:12">
      <c r="A279" s="5" t="s">
        <v>310</v>
      </c>
      <c r="C279" s="12" t="s">
        <v>311</v>
      </c>
      <c r="D279" s="5" t="s">
        <v>339</v>
      </c>
      <c r="F279" s="6">
        <v>46050</v>
      </c>
      <c r="G279" s="6">
        <v>46073</v>
      </c>
      <c r="H279" s="10">
        <f t="shared" ca="1" si="11"/>
        <v>10</v>
      </c>
      <c r="I279" s="9" t="s">
        <v>16</v>
      </c>
      <c r="K279" s="9" t="s">
        <v>56</v>
      </c>
      <c r="L279" s="9" t="s">
        <v>57</v>
      </c>
    </row>
    <row r="280" spans="1:12">
      <c r="A280" s="5" t="s">
        <v>310</v>
      </c>
      <c r="C280" s="12" t="s">
        <v>311</v>
      </c>
      <c r="D280" s="5" t="s">
        <v>340</v>
      </c>
      <c r="F280" s="6">
        <v>46051</v>
      </c>
      <c r="G280" s="6">
        <v>46080</v>
      </c>
      <c r="H280" s="10">
        <f t="shared" ca="1" si="11"/>
        <v>17</v>
      </c>
      <c r="I280" s="9" t="s">
        <v>16</v>
      </c>
      <c r="K280" s="9" t="s">
        <v>56</v>
      </c>
      <c r="L280" s="9" t="s">
        <v>57</v>
      </c>
    </row>
    <row r="281" spans="1:12">
      <c r="A281" s="5" t="s">
        <v>310</v>
      </c>
      <c r="C281" s="12" t="s">
        <v>311</v>
      </c>
      <c r="D281" s="5" t="s">
        <v>341</v>
      </c>
      <c r="F281" s="6">
        <v>46050</v>
      </c>
      <c r="G281" s="6">
        <v>46073</v>
      </c>
      <c r="H281" s="10">
        <f t="shared" ca="1" si="11"/>
        <v>10</v>
      </c>
      <c r="I281" s="9" t="s">
        <v>16</v>
      </c>
      <c r="K281" s="9" t="s">
        <v>56</v>
      </c>
      <c r="L281" s="9" t="s">
        <v>57</v>
      </c>
    </row>
    <row r="282" spans="1:12">
      <c r="A282" s="5" t="s">
        <v>310</v>
      </c>
      <c r="C282" s="12" t="s">
        <v>311</v>
      </c>
      <c r="D282" s="5" t="s">
        <v>342</v>
      </c>
      <c r="F282" s="6">
        <v>46051</v>
      </c>
      <c r="G282" s="6">
        <v>46080</v>
      </c>
      <c r="H282" s="10">
        <f t="shared" ca="1" si="11"/>
        <v>17</v>
      </c>
      <c r="I282" s="9" t="s">
        <v>16</v>
      </c>
      <c r="K282" s="9" t="s">
        <v>56</v>
      </c>
      <c r="L282" s="9" t="s">
        <v>57</v>
      </c>
    </row>
    <row r="283" spans="1:12">
      <c r="A283" s="5" t="s">
        <v>310</v>
      </c>
      <c r="C283" s="12" t="s">
        <v>311</v>
      </c>
      <c r="D283" s="5" t="s">
        <v>343</v>
      </c>
      <c r="F283" s="6">
        <v>46050</v>
      </c>
      <c r="G283" s="6">
        <v>46073</v>
      </c>
      <c r="H283" s="10">
        <f t="shared" ca="1" si="11"/>
        <v>10</v>
      </c>
      <c r="I283" s="9" t="s">
        <v>16</v>
      </c>
      <c r="K283" s="9" t="s">
        <v>56</v>
      </c>
      <c r="L283" s="9" t="s">
        <v>57</v>
      </c>
    </row>
    <row r="284" spans="1:12">
      <c r="A284" s="5" t="s">
        <v>310</v>
      </c>
      <c r="C284" s="12" t="s">
        <v>311</v>
      </c>
      <c r="D284" s="5" t="s">
        <v>344</v>
      </c>
      <c r="F284" s="6">
        <v>46051</v>
      </c>
      <c r="G284" s="6">
        <v>46080</v>
      </c>
      <c r="H284" s="10">
        <f t="shared" ca="1" si="11"/>
        <v>17</v>
      </c>
      <c r="I284" s="9" t="s">
        <v>16</v>
      </c>
      <c r="K284" s="9" t="s">
        <v>56</v>
      </c>
      <c r="L284" s="9" t="s">
        <v>57</v>
      </c>
    </row>
    <row r="285" spans="1:12">
      <c r="A285" s="5" t="s">
        <v>310</v>
      </c>
      <c r="C285" s="12" t="s">
        <v>311</v>
      </c>
      <c r="D285" s="5" t="s">
        <v>345</v>
      </c>
      <c r="F285" s="6">
        <v>46050</v>
      </c>
      <c r="G285" s="6">
        <v>46073</v>
      </c>
      <c r="H285" s="10">
        <f t="shared" ca="1" si="11"/>
        <v>10</v>
      </c>
      <c r="I285" s="9" t="s">
        <v>16</v>
      </c>
      <c r="K285" s="9" t="s">
        <v>56</v>
      </c>
      <c r="L285" s="9" t="s">
        <v>57</v>
      </c>
    </row>
    <row r="286" spans="1:12">
      <c r="A286" s="5" t="s">
        <v>310</v>
      </c>
      <c r="C286" s="12" t="s">
        <v>311</v>
      </c>
      <c r="D286" s="5" t="s">
        <v>346</v>
      </c>
      <c r="F286" s="6">
        <v>46051</v>
      </c>
      <c r="G286" s="6">
        <v>46080</v>
      </c>
      <c r="H286" s="10">
        <f t="shared" ca="1" si="11"/>
        <v>17</v>
      </c>
      <c r="I286" s="9" t="s">
        <v>16</v>
      </c>
      <c r="K286" s="9" t="s">
        <v>56</v>
      </c>
      <c r="L286" s="9" t="s">
        <v>57</v>
      </c>
    </row>
    <row r="287" spans="1:12">
      <c r="A287" s="5" t="s">
        <v>310</v>
      </c>
      <c r="C287" s="12" t="s">
        <v>311</v>
      </c>
      <c r="D287" s="5" t="s">
        <v>347</v>
      </c>
      <c r="F287" s="6">
        <v>46050</v>
      </c>
      <c r="G287" s="6">
        <v>46073</v>
      </c>
      <c r="H287" s="10">
        <f t="shared" ca="1" si="11"/>
        <v>10</v>
      </c>
      <c r="I287" s="9" t="s">
        <v>16</v>
      </c>
      <c r="K287" s="9" t="s">
        <v>56</v>
      </c>
      <c r="L287" s="9" t="s">
        <v>57</v>
      </c>
    </row>
    <row r="288" spans="1:12">
      <c r="A288" s="5" t="s">
        <v>310</v>
      </c>
      <c r="C288" s="12" t="s">
        <v>311</v>
      </c>
      <c r="D288" s="5" t="s">
        <v>348</v>
      </c>
      <c r="F288" s="6">
        <v>46051</v>
      </c>
      <c r="G288" s="6">
        <v>46080</v>
      </c>
      <c r="H288" s="10">
        <f t="shared" ca="1" si="11"/>
        <v>17</v>
      </c>
      <c r="I288" s="9" t="s">
        <v>16</v>
      </c>
      <c r="K288" s="9" t="s">
        <v>56</v>
      </c>
      <c r="L288" s="9" t="s">
        <v>57</v>
      </c>
    </row>
    <row r="289" spans="1:13">
      <c r="A289" s="5" t="s">
        <v>310</v>
      </c>
      <c r="C289" s="12" t="s">
        <v>311</v>
      </c>
      <c r="D289" s="5" t="s">
        <v>349</v>
      </c>
      <c r="F289" s="6">
        <v>46050</v>
      </c>
      <c r="G289" s="6">
        <v>46073</v>
      </c>
      <c r="H289" s="10">
        <f t="shared" ca="1" si="11"/>
        <v>10</v>
      </c>
      <c r="I289" s="9" t="s">
        <v>16</v>
      </c>
      <c r="K289" s="9" t="s">
        <v>56</v>
      </c>
      <c r="L289" s="9" t="s">
        <v>57</v>
      </c>
    </row>
    <row r="290" spans="1:13">
      <c r="A290" s="5" t="s">
        <v>310</v>
      </c>
      <c r="C290" s="12" t="s">
        <v>311</v>
      </c>
      <c r="D290" s="5" t="s">
        <v>350</v>
      </c>
      <c r="F290" s="6">
        <v>46050</v>
      </c>
      <c r="G290" s="6">
        <v>46080</v>
      </c>
      <c r="H290" s="10">
        <f t="shared" ca="1" si="11"/>
        <v>17</v>
      </c>
      <c r="I290" s="9" t="s">
        <v>16</v>
      </c>
      <c r="K290" s="9" t="s">
        <v>56</v>
      </c>
      <c r="L290" s="9" t="s">
        <v>57</v>
      </c>
    </row>
    <row r="291" spans="1:13">
      <c r="A291" s="5" t="s">
        <v>310</v>
      </c>
      <c r="C291" s="12" t="s">
        <v>311</v>
      </c>
      <c r="D291" s="5" t="s">
        <v>351</v>
      </c>
      <c r="F291" s="6">
        <v>46050</v>
      </c>
      <c r="G291" s="6">
        <v>46073</v>
      </c>
      <c r="H291" s="10">
        <f t="shared" ca="1" si="11"/>
        <v>10</v>
      </c>
      <c r="I291" s="9" t="s">
        <v>16</v>
      </c>
      <c r="K291" s="9" t="s">
        <v>56</v>
      </c>
      <c r="L291" s="9" t="s">
        <v>57</v>
      </c>
    </row>
    <row r="292" spans="1:13">
      <c r="A292" s="5" t="s">
        <v>310</v>
      </c>
      <c r="C292" s="12" t="s">
        <v>311</v>
      </c>
      <c r="D292" s="5" t="s">
        <v>352</v>
      </c>
      <c r="F292" s="6">
        <v>46050</v>
      </c>
      <c r="G292" s="6">
        <v>46080</v>
      </c>
      <c r="H292" s="10">
        <f t="shared" ca="1" si="11"/>
        <v>17</v>
      </c>
      <c r="I292" s="9" t="s">
        <v>16</v>
      </c>
      <c r="K292" s="9" t="s">
        <v>56</v>
      </c>
      <c r="L292" s="9" t="s">
        <v>57</v>
      </c>
    </row>
    <row r="293" spans="1:13">
      <c r="A293" s="5" t="s">
        <v>310</v>
      </c>
      <c r="C293" s="12" t="s">
        <v>311</v>
      </c>
      <c r="D293" s="5" t="s">
        <v>353</v>
      </c>
      <c r="F293" s="6">
        <v>46050</v>
      </c>
      <c r="G293" s="6">
        <v>46073</v>
      </c>
      <c r="H293" s="10">
        <f t="shared" ca="1" si="11"/>
        <v>10</v>
      </c>
      <c r="I293" s="9" t="s">
        <v>16</v>
      </c>
      <c r="K293" s="9" t="s">
        <v>56</v>
      </c>
      <c r="L293" s="9" t="s">
        <v>57</v>
      </c>
    </row>
    <row r="294" spans="1:13">
      <c r="A294" s="5" t="s">
        <v>310</v>
      </c>
      <c r="C294" s="12" t="s">
        <v>311</v>
      </c>
      <c r="D294" s="5" t="s">
        <v>354</v>
      </c>
      <c r="F294" s="6">
        <v>46050</v>
      </c>
      <c r="G294" s="6">
        <v>46080</v>
      </c>
      <c r="H294" s="10">
        <f t="shared" ca="1" si="11"/>
        <v>17</v>
      </c>
      <c r="I294" s="9" t="s">
        <v>16</v>
      </c>
      <c r="K294" s="9" t="s">
        <v>56</v>
      </c>
      <c r="L294" s="9" t="s">
        <v>57</v>
      </c>
    </row>
    <row r="295" spans="1:13">
      <c r="A295" s="5" t="s">
        <v>310</v>
      </c>
      <c r="C295" s="12" t="s">
        <v>311</v>
      </c>
      <c r="D295" s="5" t="s">
        <v>355</v>
      </c>
      <c r="F295" s="6">
        <v>46050</v>
      </c>
      <c r="G295" s="6">
        <v>46076</v>
      </c>
      <c r="H295" s="10">
        <f t="shared" ref="H295:H349" ca="1" si="12">IF(INT(G295-TODAY())&lt;=0,"Prazo encerrado",INT(G295-TODAY()))</f>
        <v>13</v>
      </c>
      <c r="I295" s="9" t="s">
        <v>16</v>
      </c>
      <c r="K295" s="9" t="s">
        <v>56</v>
      </c>
      <c r="L295" s="9" t="s">
        <v>57</v>
      </c>
    </row>
    <row r="296" spans="1:13">
      <c r="A296" s="5" t="s">
        <v>310</v>
      </c>
      <c r="C296" s="12" t="s">
        <v>311</v>
      </c>
      <c r="D296" s="5" t="s">
        <v>356</v>
      </c>
      <c r="F296" s="6">
        <v>46050</v>
      </c>
      <c r="G296" s="6">
        <v>46076</v>
      </c>
      <c r="H296" s="10">
        <f t="shared" ca="1" si="12"/>
        <v>13</v>
      </c>
      <c r="I296" s="9" t="s">
        <v>16</v>
      </c>
      <c r="K296" s="9" t="s">
        <v>56</v>
      </c>
      <c r="L296" s="9" t="s">
        <v>57</v>
      </c>
    </row>
    <row r="297" spans="1:13">
      <c r="A297" s="5" t="s">
        <v>54</v>
      </c>
      <c r="C297" s="12" t="s">
        <v>357</v>
      </c>
      <c r="D297" s="5" t="s">
        <v>358</v>
      </c>
      <c r="F297" s="6">
        <v>46003</v>
      </c>
      <c r="G297" s="6">
        <v>46055</v>
      </c>
      <c r="H297" s="10" t="str">
        <f t="shared" ca="1" si="12"/>
        <v>Prazo encerrado</v>
      </c>
      <c r="I297" s="8" t="s">
        <v>16</v>
      </c>
      <c r="J297" s="8" t="s">
        <v>17</v>
      </c>
      <c r="K297" s="9" t="s">
        <v>18</v>
      </c>
      <c r="L297" s="9" t="s">
        <v>19</v>
      </c>
      <c r="M297" s="5" t="s">
        <v>359</v>
      </c>
    </row>
    <row r="298" spans="1:13">
      <c r="A298" s="5" t="s">
        <v>54</v>
      </c>
      <c r="C298" s="12" t="s">
        <v>357</v>
      </c>
      <c r="D298" s="5" t="s">
        <v>360</v>
      </c>
      <c r="F298" s="6">
        <v>46003</v>
      </c>
      <c r="G298" s="6">
        <v>46055</v>
      </c>
      <c r="H298" s="10" t="str">
        <f t="shared" ca="1" si="12"/>
        <v>Prazo encerrado</v>
      </c>
      <c r="I298" s="8" t="s">
        <v>16</v>
      </c>
      <c r="J298" s="8" t="s">
        <v>17</v>
      </c>
      <c r="K298" s="9" t="s">
        <v>18</v>
      </c>
      <c r="L298" s="9" t="s">
        <v>19</v>
      </c>
      <c r="M298" s="5" t="s">
        <v>359</v>
      </c>
    </row>
    <row r="299" spans="1:13">
      <c r="A299" s="5" t="s">
        <v>54</v>
      </c>
      <c r="C299" s="12" t="s">
        <v>357</v>
      </c>
      <c r="D299" s="5" t="s">
        <v>361</v>
      </c>
      <c r="F299" s="6">
        <v>46003</v>
      </c>
      <c r="G299" s="6">
        <v>46055</v>
      </c>
      <c r="H299" s="10" t="str">
        <f t="shared" ca="1" si="12"/>
        <v>Prazo encerrado</v>
      </c>
      <c r="I299" s="8" t="s">
        <v>71</v>
      </c>
      <c r="J299" s="8" t="s">
        <v>17</v>
      </c>
      <c r="K299" s="9" t="s">
        <v>190</v>
      </c>
      <c r="L299" s="9" t="s">
        <v>214</v>
      </c>
      <c r="M299" s="5" t="s">
        <v>362</v>
      </c>
    </row>
    <row r="300" spans="1:13">
      <c r="A300" s="5" t="s">
        <v>54</v>
      </c>
      <c r="C300" s="12" t="s">
        <v>357</v>
      </c>
      <c r="D300" s="5" t="s">
        <v>363</v>
      </c>
      <c r="F300" s="6">
        <v>46003</v>
      </c>
      <c r="G300" s="6">
        <v>46055</v>
      </c>
      <c r="H300" s="10" t="str">
        <f t="shared" ca="1" si="12"/>
        <v>Prazo encerrado</v>
      </c>
      <c r="I300" s="8" t="s">
        <v>71</v>
      </c>
      <c r="J300" s="8" t="s">
        <v>17</v>
      </c>
      <c r="K300" s="9" t="s">
        <v>190</v>
      </c>
      <c r="L300" s="9" t="s">
        <v>214</v>
      </c>
      <c r="M300" s="5" t="s">
        <v>362</v>
      </c>
    </row>
    <row r="301" spans="1:13">
      <c r="A301" s="5" t="s">
        <v>54</v>
      </c>
      <c r="C301" s="12" t="s">
        <v>357</v>
      </c>
      <c r="D301" s="5" t="s">
        <v>364</v>
      </c>
      <c r="F301" s="6">
        <v>46003</v>
      </c>
      <c r="G301" s="6">
        <v>46055</v>
      </c>
      <c r="H301" s="10" t="str">
        <f t="shared" ca="1" si="12"/>
        <v>Prazo encerrado</v>
      </c>
      <c r="I301" s="8" t="s">
        <v>71</v>
      </c>
      <c r="J301" s="8" t="s">
        <v>17</v>
      </c>
      <c r="K301" s="9" t="s">
        <v>190</v>
      </c>
      <c r="L301" s="9" t="s">
        <v>214</v>
      </c>
      <c r="M301" s="5" t="s">
        <v>362</v>
      </c>
    </row>
    <row r="302" spans="1:13">
      <c r="A302" s="5" t="s">
        <v>54</v>
      </c>
      <c r="C302" s="12" t="s">
        <v>357</v>
      </c>
      <c r="D302" s="5" t="s">
        <v>365</v>
      </c>
      <c r="F302" s="6">
        <v>46003</v>
      </c>
      <c r="G302" s="6">
        <v>46055</v>
      </c>
      <c r="H302" s="10" t="str">
        <f t="shared" ca="1" si="12"/>
        <v>Prazo encerrado</v>
      </c>
      <c r="I302" s="8" t="s">
        <v>71</v>
      </c>
      <c r="J302" s="8" t="s">
        <v>17</v>
      </c>
      <c r="K302" s="9" t="s">
        <v>18</v>
      </c>
      <c r="L302" s="9" t="s">
        <v>19</v>
      </c>
      <c r="M302" s="5" t="s">
        <v>359</v>
      </c>
    </row>
    <row r="303" spans="1:13">
      <c r="A303" s="5" t="s">
        <v>54</v>
      </c>
      <c r="C303" s="12" t="s">
        <v>357</v>
      </c>
      <c r="D303" s="5" t="s">
        <v>366</v>
      </c>
      <c r="F303" s="6">
        <v>46003</v>
      </c>
      <c r="G303" s="6">
        <v>46055</v>
      </c>
      <c r="H303" s="10" t="str">
        <f t="shared" ca="1" si="12"/>
        <v>Prazo encerrado</v>
      </c>
      <c r="I303" s="8" t="s">
        <v>71</v>
      </c>
      <c r="J303" s="8" t="s">
        <v>17</v>
      </c>
      <c r="K303" s="9" t="s">
        <v>190</v>
      </c>
      <c r="L303" s="9" t="s">
        <v>214</v>
      </c>
      <c r="M303" s="5" t="s">
        <v>362</v>
      </c>
    </row>
    <row r="304" spans="1:13">
      <c r="A304" s="5" t="s">
        <v>54</v>
      </c>
      <c r="C304" s="12" t="s">
        <v>357</v>
      </c>
      <c r="D304" s="5" t="s">
        <v>367</v>
      </c>
      <c r="F304" s="6">
        <v>46003</v>
      </c>
      <c r="G304" s="6">
        <v>46055</v>
      </c>
      <c r="H304" s="10" t="str">
        <f t="shared" ca="1" si="12"/>
        <v>Prazo encerrado</v>
      </c>
      <c r="I304" s="8" t="s">
        <v>16</v>
      </c>
      <c r="J304" s="8" t="s">
        <v>17</v>
      </c>
      <c r="K304" s="9" t="s">
        <v>56</v>
      </c>
      <c r="L304" s="9" t="s">
        <v>57</v>
      </c>
      <c r="M304" s="5" t="s">
        <v>58</v>
      </c>
    </row>
    <row r="305" spans="1:13">
      <c r="A305" s="5" t="s">
        <v>54</v>
      </c>
      <c r="C305" s="12" t="s">
        <v>357</v>
      </c>
      <c r="D305" s="5" t="s">
        <v>368</v>
      </c>
      <c r="F305" s="6">
        <v>46003</v>
      </c>
      <c r="G305" s="6">
        <v>46055</v>
      </c>
      <c r="H305" s="10" t="str">
        <f t="shared" ca="1" si="12"/>
        <v>Prazo encerrado</v>
      </c>
      <c r="I305" s="8" t="s">
        <v>16</v>
      </c>
      <c r="J305" s="8" t="s">
        <v>17</v>
      </c>
      <c r="K305" s="9" t="s">
        <v>56</v>
      </c>
      <c r="L305" s="9" t="s">
        <v>57</v>
      </c>
      <c r="M305" s="5" t="s">
        <v>58</v>
      </c>
    </row>
    <row r="306" spans="1:13">
      <c r="A306" s="5" t="s">
        <v>54</v>
      </c>
      <c r="C306" s="12" t="s">
        <v>357</v>
      </c>
      <c r="D306" s="5" t="s">
        <v>369</v>
      </c>
      <c r="F306" s="6">
        <v>46003</v>
      </c>
      <c r="G306" s="6">
        <v>46055</v>
      </c>
      <c r="H306" s="10" t="str">
        <f t="shared" ca="1" si="12"/>
        <v>Prazo encerrado</v>
      </c>
      <c r="I306" s="8" t="s">
        <v>71</v>
      </c>
      <c r="J306" s="8" t="s">
        <v>17</v>
      </c>
      <c r="K306" s="9" t="s">
        <v>56</v>
      </c>
      <c r="L306" s="9" t="s">
        <v>57</v>
      </c>
      <c r="M306" s="5" t="s">
        <v>58</v>
      </c>
    </row>
    <row r="307" spans="1:13">
      <c r="A307" s="5" t="s">
        <v>54</v>
      </c>
      <c r="C307" s="12" t="s">
        <v>357</v>
      </c>
      <c r="D307" s="5" t="s">
        <v>370</v>
      </c>
      <c r="F307" s="6">
        <v>46003</v>
      </c>
      <c r="G307" s="6">
        <v>46055</v>
      </c>
      <c r="H307" s="10" t="str">
        <f t="shared" ca="1" si="12"/>
        <v>Prazo encerrado</v>
      </c>
      <c r="I307" s="8" t="s">
        <v>71</v>
      </c>
      <c r="J307" s="8" t="s">
        <v>17</v>
      </c>
      <c r="K307" s="9" t="s">
        <v>18</v>
      </c>
      <c r="L307" s="9" t="s">
        <v>19</v>
      </c>
      <c r="M307" s="5" t="s">
        <v>359</v>
      </c>
    </row>
    <row r="308" spans="1:13">
      <c r="A308" s="5" t="s">
        <v>54</v>
      </c>
      <c r="C308" s="12" t="s">
        <v>371</v>
      </c>
      <c r="D308" s="5" t="s">
        <v>372</v>
      </c>
      <c r="F308" s="6">
        <v>46020</v>
      </c>
      <c r="G308" s="6">
        <v>46047</v>
      </c>
      <c r="H308" s="10" t="str">
        <f t="shared" ca="1" si="12"/>
        <v>Prazo encerrado</v>
      </c>
      <c r="I308" s="8" t="s">
        <v>16</v>
      </c>
      <c r="J308" s="8" t="s">
        <v>17</v>
      </c>
      <c r="K308" s="9" t="s">
        <v>56</v>
      </c>
      <c r="L308" s="9" t="s">
        <v>214</v>
      </c>
      <c r="M308" s="5" t="s">
        <v>373</v>
      </c>
    </row>
    <row r="309" spans="1:13">
      <c r="A309" s="5" t="s">
        <v>54</v>
      </c>
      <c r="C309" s="12" t="s">
        <v>371</v>
      </c>
      <c r="D309" s="5" t="s">
        <v>374</v>
      </c>
      <c r="F309" s="6">
        <v>46020</v>
      </c>
      <c r="G309" s="6">
        <v>46047</v>
      </c>
      <c r="H309" s="10" t="str">
        <f t="shared" ca="1" si="12"/>
        <v>Prazo encerrado</v>
      </c>
      <c r="I309" s="8" t="s">
        <v>16</v>
      </c>
      <c r="J309" s="8" t="s">
        <v>17</v>
      </c>
      <c r="K309" s="9" t="s">
        <v>56</v>
      </c>
      <c r="L309" s="9" t="s">
        <v>214</v>
      </c>
      <c r="M309" s="5" t="s">
        <v>373</v>
      </c>
    </row>
    <row r="310" spans="1:13">
      <c r="A310" s="5" t="s">
        <v>54</v>
      </c>
      <c r="C310" s="12" t="s">
        <v>371</v>
      </c>
      <c r="D310" s="5" t="s">
        <v>375</v>
      </c>
      <c r="F310" s="6">
        <v>46020</v>
      </c>
      <c r="G310" s="6">
        <v>46047</v>
      </c>
      <c r="H310" s="10" t="str">
        <f t="shared" ca="1" si="12"/>
        <v>Prazo encerrado</v>
      </c>
      <c r="I310" s="8" t="s">
        <v>16</v>
      </c>
      <c r="J310" s="8" t="s">
        <v>17</v>
      </c>
      <c r="K310" s="9" t="s">
        <v>56</v>
      </c>
      <c r="L310" s="9" t="s">
        <v>214</v>
      </c>
      <c r="M310" s="5" t="s">
        <v>373</v>
      </c>
    </row>
    <row r="311" spans="1:13">
      <c r="A311" s="5" t="s">
        <v>54</v>
      </c>
      <c r="C311" s="12" t="s">
        <v>371</v>
      </c>
      <c r="D311" s="5" t="s">
        <v>376</v>
      </c>
      <c r="F311" s="6">
        <v>46020</v>
      </c>
      <c r="G311" s="6">
        <v>46047</v>
      </c>
      <c r="H311" s="10" t="str">
        <f t="shared" ca="1" si="12"/>
        <v>Prazo encerrado</v>
      </c>
      <c r="I311" s="8" t="s">
        <v>16</v>
      </c>
      <c r="J311" s="8" t="s">
        <v>17</v>
      </c>
      <c r="K311" s="9" t="s">
        <v>56</v>
      </c>
      <c r="L311" s="9" t="s">
        <v>214</v>
      </c>
      <c r="M311" s="5" t="s">
        <v>373</v>
      </c>
    </row>
    <row r="312" spans="1:13">
      <c r="A312" s="5" t="s">
        <v>54</v>
      </c>
      <c r="C312" s="12" t="s">
        <v>371</v>
      </c>
      <c r="D312" s="5" t="s">
        <v>377</v>
      </c>
      <c r="F312" s="6">
        <v>46020</v>
      </c>
      <c r="G312" s="6">
        <v>46047</v>
      </c>
      <c r="H312" s="10" t="str">
        <f t="shared" ca="1" si="12"/>
        <v>Prazo encerrado</v>
      </c>
      <c r="I312" s="8" t="s">
        <v>16</v>
      </c>
      <c r="J312" s="8" t="s">
        <v>17</v>
      </c>
      <c r="K312" s="9" t="s">
        <v>56</v>
      </c>
      <c r="L312" s="9" t="s">
        <v>214</v>
      </c>
      <c r="M312" s="5" t="s">
        <v>373</v>
      </c>
    </row>
    <row r="313" spans="1:13">
      <c r="A313" s="5" t="s">
        <v>54</v>
      </c>
      <c r="C313" s="12" t="s">
        <v>371</v>
      </c>
      <c r="D313" s="5" t="s">
        <v>378</v>
      </c>
      <c r="F313" s="6">
        <v>46020</v>
      </c>
      <c r="G313" s="6">
        <v>46059</v>
      </c>
      <c r="H313" s="10" t="str">
        <f t="shared" ca="1" si="12"/>
        <v>Prazo encerrado</v>
      </c>
      <c r="I313" s="8" t="s">
        <v>16</v>
      </c>
      <c r="J313" s="8" t="s">
        <v>17</v>
      </c>
      <c r="K313" s="9" t="s">
        <v>56</v>
      </c>
      <c r="L313" s="9" t="s">
        <v>57</v>
      </c>
      <c r="M313" s="5" t="s">
        <v>58</v>
      </c>
    </row>
    <row r="314" spans="1:13">
      <c r="A314" s="5" t="s">
        <v>54</v>
      </c>
      <c r="C314" s="12" t="s">
        <v>371</v>
      </c>
      <c r="D314" s="5" t="s">
        <v>379</v>
      </c>
      <c r="F314" s="6">
        <v>46020</v>
      </c>
      <c r="G314" s="6">
        <v>46059</v>
      </c>
      <c r="H314" s="10" t="str">
        <f t="shared" ca="1" si="12"/>
        <v>Prazo encerrado</v>
      </c>
      <c r="I314" s="8" t="s">
        <v>16</v>
      </c>
      <c r="J314" s="8" t="s">
        <v>17</v>
      </c>
      <c r="K314" s="9" t="s">
        <v>56</v>
      </c>
      <c r="L314" s="9" t="s">
        <v>57</v>
      </c>
      <c r="M314" s="5" t="s">
        <v>58</v>
      </c>
    </row>
    <row r="315" spans="1:13">
      <c r="A315" s="5" t="s">
        <v>54</v>
      </c>
      <c r="C315" s="12" t="s">
        <v>371</v>
      </c>
      <c r="D315" s="5" t="s">
        <v>380</v>
      </c>
      <c r="F315" s="6">
        <v>46020</v>
      </c>
      <c r="G315" s="6">
        <v>46059</v>
      </c>
      <c r="H315" s="10" t="str">
        <f t="shared" ca="1" si="12"/>
        <v>Prazo encerrado</v>
      </c>
      <c r="I315" s="8" t="s">
        <v>16</v>
      </c>
      <c r="J315" s="8" t="s">
        <v>17</v>
      </c>
      <c r="K315" s="9" t="s">
        <v>56</v>
      </c>
      <c r="L315" s="9" t="s">
        <v>57</v>
      </c>
      <c r="M315" s="5" t="s">
        <v>58</v>
      </c>
    </row>
    <row r="316" spans="1:13">
      <c r="A316" s="5" t="s">
        <v>54</v>
      </c>
      <c r="C316" s="12" t="s">
        <v>371</v>
      </c>
      <c r="D316" s="5" t="s">
        <v>381</v>
      </c>
      <c r="F316" s="6">
        <v>46020</v>
      </c>
      <c r="G316" s="6">
        <v>46059</v>
      </c>
      <c r="H316" s="10" t="str">
        <f t="shared" ca="1" si="12"/>
        <v>Prazo encerrado</v>
      </c>
      <c r="I316" s="8" t="s">
        <v>16</v>
      </c>
      <c r="J316" s="8" t="s">
        <v>17</v>
      </c>
      <c r="K316" s="9" t="s">
        <v>56</v>
      </c>
      <c r="L316" s="9" t="s">
        <v>57</v>
      </c>
      <c r="M316" s="5" t="s">
        <v>58</v>
      </c>
    </row>
    <row r="317" spans="1:13">
      <c r="A317" s="5" t="s">
        <v>54</v>
      </c>
      <c r="C317" s="12" t="s">
        <v>371</v>
      </c>
      <c r="D317" s="5" t="s">
        <v>382</v>
      </c>
      <c r="F317" s="6">
        <v>46020</v>
      </c>
      <c r="G317" s="6">
        <v>46059</v>
      </c>
      <c r="H317" s="10" t="str">
        <f t="shared" ca="1" si="12"/>
        <v>Prazo encerrado</v>
      </c>
      <c r="I317" s="8" t="s">
        <v>16</v>
      </c>
      <c r="J317" s="8" t="s">
        <v>17</v>
      </c>
      <c r="K317" s="9" t="s">
        <v>56</v>
      </c>
      <c r="L317" s="9" t="s">
        <v>57</v>
      </c>
      <c r="M317" s="5" t="s">
        <v>58</v>
      </c>
    </row>
    <row r="318" spans="1:13">
      <c r="A318" s="5" t="s">
        <v>54</v>
      </c>
      <c r="C318" s="12" t="s">
        <v>371</v>
      </c>
      <c r="D318" s="5" t="s">
        <v>383</v>
      </c>
      <c r="F318" s="6">
        <v>46020</v>
      </c>
      <c r="G318" s="6">
        <v>46059</v>
      </c>
      <c r="H318" s="10" t="str">
        <f t="shared" ca="1" si="12"/>
        <v>Prazo encerrado</v>
      </c>
      <c r="I318" s="8" t="s">
        <v>16</v>
      </c>
      <c r="J318" s="8" t="s">
        <v>17</v>
      </c>
      <c r="K318" s="9" t="s">
        <v>56</v>
      </c>
      <c r="L318" s="9" t="s">
        <v>57</v>
      </c>
      <c r="M318" s="5" t="s">
        <v>58</v>
      </c>
    </row>
    <row r="319" spans="1:13">
      <c r="A319" s="5" t="s">
        <v>54</v>
      </c>
      <c r="C319" s="12" t="s">
        <v>371</v>
      </c>
      <c r="D319" s="5" t="s">
        <v>384</v>
      </c>
      <c r="F319" s="6">
        <v>46020</v>
      </c>
      <c r="G319" s="6">
        <v>46059</v>
      </c>
      <c r="H319" s="10" t="str">
        <f t="shared" ca="1" si="12"/>
        <v>Prazo encerrado</v>
      </c>
      <c r="I319" s="8" t="s">
        <v>16</v>
      </c>
      <c r="J319" s="8" t="s">
        <v>17</v>
      </c>
      <c r="K319" s="9" t="s">
        <v>56</v>
      </c>
      <c r="L319" s="9" t="s">
        <v>57</v>
      </c>
      <c r="M319" s="5" t="s">
        <v>58</v>
      </c>
    </row>
    <row r="320" spans="1:13">
      <c r="A320" s="5" t="s">
        <v>54</v>
      </c>
      <c r="C320" s="12" t="s">
        <v>385</v>
      </c>
      <c r="D320" s="5" t="s">
        <v>386</v>
      </c>
      <c r="F320" s="6">
        <v>45974</v>
      </c>
      <c r="G320" s="6">
        <v>46080</v>
      </c>
      <c r="H320" s="10">
        <f t="shared" ca="1" si="12"/>
        <v>17</v>
      </c>
      <c r="I320" s="8" t="s">
        <v>71</v>
      </c>
      <c r="J320" s="8" t="s">
        <v>17</v>
      </c>
      <c r="K320" s="9" t="s">
        <v>18</v>
      </c>
      <c r="L320" s="9" t="s">
        <v>19</v>
      </c>
      <c r="M320" s="5" t="s">
        <v>359</v>
      </c>
    </row>
    <row r="321" spans="1:13">
      <c r="A321" s="5" t="s">
        <v>54</v>
      </c>
      <c r="C321" s="12" t="s">
        <v>385</v>
      </c>
      <c r="D321" s="5" t="s">
        <v>387</v>
      </c>
      <c r="F321" s="6">
        <v>45974</v>
      </c>
      <c r="G321" s="6">
        <v>46080</v>
      </c>
      <c r="H321" s="10">
        <f t="shared" ca="1" si="12"/>
        <v>17</v>
      </c>
      <c r="I321" s="8" t="s">
        <v>71</v>
      </c>
      <c r="J321" s="8" t="s">
        <v>17</v>
      </c>
      <c r="K321" s="9" t="s">
        <v>56</v>
      </c>
      <c r="L321" s="9" t="s">
        <v>57</v>
      </c>
      <c r="M321" s="5" t="s">
        <v>58</v>
      </c>
    </row>
    <row r="322" spans="1:13">
      <c r="A322" s="5" t="s">
        <v>54</v>
      </c>
      <c r="C322" s="12" t="s">
        <v>385</v>
      </c>
      <c r="D322" s="5" t="s">
        <v>388</v>
      </c>
      <c r="F322" s="6">
        <v>45974</v>
      </c>
      <c r="G322" s="6">
        <v>46080</v>
      </c>
      <c r="H322" s="10">
        <f t="shared" ca="1" si="12"/>
        <v>17</v>
      </c>
      <c r="I322" s="8" t="s">
        <v>71</v>
      </c>
      <c r="J322" s="8" t="s">
        <v>17</v>
      </c>
      <c r="K322" s="9" t="s">
        <v>56</v>
      </c>
      <c r="L322" s="9" t="s">
        <v>57</v>
      </c>
      <c r="M322" s="5" t="s">
        <v>58</v>
      </c>
    </row>
    <row r="323" spans="1:13">
      <c r="A323" s="5" t="s">
        <v>54</v>
      </c>
      <c r="C323" s="12" t="s">
        <v>385</v>
      </c>
      <c r="D323" s="5" t="s">
        <v>389</v>
      </c>
      <c r="F323" s="6">
        <v>45974</v>
      </c>
      <c r="G323" s="6">
        <v>46080</v>
      </c>
      <c r="H323" s="10">
        <f t="shared" ca="1" si="12"/>
        <v>17</v>
      </c>
      <c r="I323" s="8" t="s">
        <v>71</v>
      </c>
      <c r="J323" s="8" t="s">
        <v>17</v>
      </c>
      <c r="K323" s="9" t="s">
        <v>56</v>
      </c>
      <c r="L323" s="9" t="s">
        <v>57</v>
      </c>
      <c r="M323" s="5" t="s">
        <v>58</v>
      </c>
    </row>
    <row r="324" spans="1:13">
      <c r="A324" s="5" t="s">
        <v>54</v>
      </c>
      <c r="C324" s="12" t="s">
        <v>385</v>
      </c>
      <c r="D324" s="5" t="s">
        <v>390</v>
      </c>
      <c r="F324" s="6">
        <v>46049</v>
      </c>
      <c r="G324" s="6">
        <v>46076</v>
      </c>
      <c r="H324" s="10">
        <f t="shared" ca="1" si="12"/>
        <v>13</v>
      </c>
      <c r="I324" s="8" t="s">
        <v>71</v>
      </c>
      <c r="J324" s="8" t="s">
        <v>17</v>
      </c>
      <c r="K324" s="9" t="s">
        <v>56</v>
      </c>
      <c r="L324" s="9" t="s">
        <v>57</v>
      </c>
      <c r="M324" s="5" t="s">
        <v>58</v>
      </c>
    </row>
    <row r="325" spans="1:13">
      <c r="A325" s="5" t="s">
        <v>54</v>
      </c>
      <c r="C325" s="12" t="s">
        <v>385</v>
      </c>
      <c r="D325" s="5" t="s">
        <v>391</v>
      </c>
      <c r="F325" s="6">
        <v>46049</v>
      </c>
      <c r="G325" s="6">
        <v>46076</v>
      </c>
      <c r="H325" s="10">
        <f t="shared" ca="1" si="12"/>
        <v>13</v>
      </c>
      <c r="I325" s="8" t="s">
        <v>71</v>
      </c>
      <c r="J325" s="8" t="s">
        <v>17</v>
      </c>
      <c r="K325" s="9" t="s">
        <v>56</v>
      </c>
      <c r="L325" s="9" t="s">
        <v>57</v>
      </c>
      <c r="M325" s="5" t="s">
        <v>58</v>
      </c>
    </row>
    <row r="326" spans="1:13">
      <c r="A326" s="5" t="s">
        <v>54</v>
      </c>
      <c r="C326" s="12" t="s">
        <v>385</v>
      </c>
      <c r="D326" s="5" t="s">
        <v>392</v>
      </c>
      <c r="F326" s="6">
        <v>46049</v>
      </c>
      <c r="G326" s="6">
        <v>46076</v>
      </c>
      <c r="H326" s="10">
        <f t="shared" ca="1" si="12"/>
        <v>13</v>
      </c>
      <c r="I326" s="8" t="s">
        <v>71</v>
      </c>
      <c r="J326" s="8" t="s">
        <v>17</v>
      </c>
      <c r="K326" s="9" t="s">
        <v>56</v>
      </c>
      <c r="L326" s="9" t="s">
        <v>57</v>
      </c>
      <c r="M326" s="5" t="s">
        <v>58</v>
      </c>
    </row>
    <row r="327" spans="1:13">
      <c r="A327" s="5" t="s">
        <v>54</v>
      </c>
      <c r="C327" s="12" t="s">
        <v>393</v>
      </c>
      <c r="D327" s="5" t="s">
        <v>387</v>
      </c>
      <c r="F327" s="6">
        <v>46001</v>
      </c>
      <c r="G327" s="6">
        <v>46076</v>
      </c>
      <c r="H327" s="10">
        <f t="shared" ca="1" si="12"/>
        <v>13</v>
      </c>
      <c r="I327" s="8" t="s">
        <v>71</v>
      </c>
      <c r="J327" s="8" t="s">
        <v>17</v>
      </c>
      <c r="K327" s="9" t="s">
        <v>18</v>
      </c>
      <c r="L327" s="9" t="s">
        <v>214</v>
      </c>
      <c r="M327" s="5" t="s">
        <v>58</v>
      </c>
    </row>
    <row r="328" spans="1:13">
      <c r="A328" s="5" t="s">
        <v>54</v>
      </c>
      <c r="C328" s="12" t="s">
        <v>393</v>
      </c>
      <c r="D328" s="5" t="s">
        <v>394</v>
      </c>
      <c r="F328" s="6">
        <v>46001</v>
      </c>
      <c r="G328" s="6">
        <v>46076</v>
      </c>
      <c r="H328" s="10">
        <f t="shared" ca="1" si="12"/>
        <v>13</v>
      </c>
      <c r="I328" s="8" t="s">
        <v>71</v>
      </c>
      <c r="J328" s="8" t="s">
        <v>17</v>
      </c>
      <c r="K328" s="9" t="s">
        <v>56</v>
      </c>
      <c r="L328" s="9" t="s">
        <v>57</v>
      </c>
      <c r="M328" s="5" t="s">
        <v>58</v>
      </c>
    </row>
    <row r="329" spans="1:13">
      <c r="A329" s="5" t="s">
        <v>54</v>
      </c>
      <c r="C329" s="12" t="s">
        <v>393</v>
      </c>
      <c r="D329" s="5" t="s">
        <v>395</v>
      </c>
      <c r="F329" s="6">
        <v>46001</v>
      </c>
      <c r="G329" s="6">
        <v>46076</v>
      </c>
      <c r="H329" s="10">
        <f t="shared" ca="1" si="12"/>
        <v>13</v>
      </c>
      <c r="I329" s="8" t="s">
        <v>71</v>
      </c>
      <c r="J329" s="8" t="s">
        <v>17</v>
      </c>
      <c r="K329" s="9" t="s">
        <v>56</v>
      </c>
      <c r="L329" s="9" t="s">
        <v>57</v>
      </c>
      <c r="M329" s="5" t="s">
        <v>58</v>
      </c>
    </row>
    <row r="330" spans="1:13">
      <c r="A330" s="5" t="s">
        <v>54</v>
      </c>
      <c r="C330" s="12" t="s">
        <v>393</v>
      </c>
      <c r="D330" s="5" t="s">
        <v>396</v>
      </c>
      <c r="F330" s="6">
        <v>46001</v>
      </c>
      <c r="G330" s="6">
        <v>46076</v>
      </c>
      <c r="H330" s="10">
        <f t="shared" ca="1" si="12"/>
        <v>13</v>
      </c>
      <c r="I330" s="8" t="s">
        <v>71</v>
      </c>
      <c r="J330" s="8" t="s">
        <v>17</v>
      </c>
      <c r="K330" s="9" t="s">
        <v>56</v>
      </c>
      <c r="L330" s="9" t="s">
        <v>57</v>
      </c>
      <c r="M330" s="5" t="s">
        <v>58</v>
      </c>
    </row>
    <row r="331" spans="1:13">
      <c r="A331" s="5" t="s">
        <v>54</v>
      </c>
      <c r="C331" s="12" t="s">
        <v>393</v>
      </c>
      <c r="D331" s="14" t="s">
        <v>397</v>
      </c>
      <c r="E331" s="14"/>
      <c r="F331" s="6">
        <v>46001</v>
      </c>
      <c r="G331" s="6">
        <v>46076</v>
      </c>
      <c r="H331" s="10">
        <f t="shared" ca="1" si="12"/>
        <v>13</v>
      </c>
      <c r="I331" s="8" t="s">
        <v>71</v>
      </c>
      <c r="J331" s="8" t="s">
        <v>17</v>
      </c>
      <c r="K331" s="9" t="s">
        <v>56</v>
      </c>
      <c r="L331" s="9" t="s">
        <v>57</v>
      </c>
      <c r="M331" s="5" t="s">
        <v>58</v>
      </c>
    </row>
    <row r="332" spans="1:13">
      <c r="A332" s="5" t="s">
        <v>54</v>
      </c>
      <c r="C332" s="12" t="s">
        <v>393</v>
      </c>
      <c r="D332" s="5" t="s">
        <v>398</v>
      </c>
      <c r="F332" s="6">
        <v>46001</v>
      </c>
      <c r="G332" s="6">
        <v>46076</v>
      </c>
      <c r="H332" s="10">
        <f t="shared" ca="1" si="12"/>
        <v>13</v>
      </c>
      <c r="I332" s="8" t="s">
        <v>71</v>
      </c>
      <c r="J332" s="8" t="s">
        <v>17</v>
      </c>
      <c r="K332" s="9" t="s">
        <v>56</v>
      </c>
      <c r="L332" s="9" t="s">
        <v>57</v>
      </c>
      <c r="M332" s="5" t="s">
        <v>58</v>
      </c>
    </row>
    <row r="333" spans="1:13">
      <c r="A333" s="5" t="s">
        <v>54</v>
      </c>
      <c r="C333" s="12" t="s">
        <v>399</v>
      </c>
      <c r="D333" s="5" t="s">
        <v>400</v>
      </c>
      <c r="F333" s="6">
        <v>46020</v>
      </c>
      <c r="G333" s="6">
        <v>46063</v>
      </c>
      <c r="H333" s="10" t="str">
        <f t="shared" ca="1" si="12"/>
        <v>Prazo encerrado</v>
      </c>
      <c r="I333" s="8" t="s">
        <v>16</v>
      </c>
      <c r="J333" s="8" t="s">
        <v>17</v>
      </c>
      <c r="K333" s="9" t="s">
        <v>56</v>
      </c>
      <c r="L333" s="9" t="s">
        <v>57</v>
      </c>
      <c r="M333" s="5" t="s">
        <v>58</v>
      </c>
    </row>
    <row r="334" spans="1:13">
      <c r="A334" s="5" t="s">
        <v>54</v>
      </c>
      <c r="C334" s="12" t="s">
        <v>399</v>
      </c>
      <c r="D334" s="5" t="s">
        <v>401</v>
      </c>
      <c r="F334" s="6">
        <v>46020</v>
      </c>
      <c r="G334" s="6">
        <v>46063</v>
      </c>
      <c r="H334" s="10" t="str">
        <f t="shared" ca="1" si="12"/>
        <v>Prazo encerrado</v>
      </c>
      <c r="I334" s="8" t="s">
        <v>16</v>
      </c>
      <c r="J334" s="8" t="s">
        <v>17</v>
      </c>
      <c r="K334" s="9" t="s">
        <v>56</v>
      </c>
      <c r="L334" s="9" t="s">
        <v>57</v>
      </c>
      <c r="M334" s="5" t="s">
        <v>58</v>
      </c>
    </row>
    <row r="335" spans="1:13">
      <c r="A335" s="5" t="s">
        <v>54</v>
      </c>
      <c r="C335" s="12" t="s">
        <v>399</v>
      </c>
      <c r="D335" s="5" t="s">
        <v>402</v>
      </c>
      <c r="F335" s="6">
        <v>46020</v>
      </c>
      <c r="G335" s="6">
        <v>46063</v>
      </c>
      <c r="H335" s="10" t="str">
        <f t="shared" ca="1" si="12"/>
        <v>Prazo encerrado</v>
      </c>
      <c r="I335" s="8" t="s">
        <v>16</v>
      </c>
      <c r="J335" s="8" t="s">
        <v>17</v>
      </c>
      <c r="K335" s="9" t="s">
        <v>56</v>
      </c>
      <c r="L335" s="9" t="s">
        <v>57</v>
      </c>
      <c r="M335" s="5" t="s">
        <v>58</v>
      </c>
    </row>
    <row r="336" spans="1:13">
      <c r="A336" s="5" t="s">
        <v>54</v>
      </c>
      <c r="C336" s="12" t="s">
        <v>399</v>
      </c>
      <c r="D336" s="5" t="s">
        <v>403</v>
      </c>
      <c r="F336" s="6">
        <v>46020</v>
      </c>
      <c r="G336" s="6">
        <v>46063</v>
      </c>
      <c r="H336" s="10" t="str">
        <f t="shared" ca="1" si="12"/>
        <v>Prazo encerrado</v>
      </c>
      <c r="I336" s="8" t="s">
        <v>16</v>
      </c>
      <c r="J336" s="8" t="s">
        <v>17</v>
      </c>
      <c r="K336" s="9" t="s">
        <v>56</v>
      </c>
      <c r="L336" s="9" t="s">
        <v>57</v>
      </c>
      <c r="M336" s="5" t="s">
        <v>58</v>
      </c>
    </row>
    <row r="337" spans="1:13">
      <c r="A337" s="5" t="s">
        <v>54</v>
      </c>
      <c r="C337" s="12" t="s">
        <v>404</v>
      </c>
      <c r="D337" s="5" t="s">
        <v>405</v>
      </c>
      <c r="F337" s="6">
        <v>45691</v>
      </c>
      <c r="G337" s="6">
        <v>46059</v>
      </c>
      <c r="H337" s="10" t="str">
        <f t="shared" ca="1" si="12"/>
        <v>Prazo encerrado</v>
      </c>
      <c r="I337" s="8" t="s">
        <v>16</v>
      </c>
      <c r="J337" s="8" t="s">
        <v>17</v>
      </c>
      <c r="K337" s="9" t="s">
        <v>18</v>
      </c>
      <c r="L337" s="9" t="s">
        <v>57</v>
      </c>
      <c r="M337" s="5" t="s">
        <v>58</v>
      </c>
    </row>
    <row r="338" spans="1:13">
      <c r="A338" s="5" t="s">
        <v>54</v>
      </c>
      <c r="C338" s="12" t="s">
        <v>404</v>
      </c>
      <c r="D338" s="5" t="s">
        <v>406</v>
      </c>
      <c r="F338" s="6">
        <v>45691</v>
      </c>
      <c r="G338" s="6">
        <v>46059</v>
      </c>
      <c r="H338" s="10" t="str">
        <f t="shared" ca="1" si="12"/>
        <v>Prazo encerrado</v>
      </c>
      <c r="I338" s="8" t="s">
        <v>16</v>
      </c>
      <c r="J338" s="8" t="s">
        <v>17</v>
      </c>
      <c r="K338" s="9" t="s">
        <v>18</v>
      </c>
      <c r="L338" s="9" t="s">
        <v>57</v>
      </c>
      <c r="M338" s="5" t="s">
        <v>58</v>
      </c>
    </row>
    <row r="339" spans="1:13">
      <c r="A339" s="5" t="s">
        <v>54</v>
      </c>
      <c r="C339" s="12" t="s">
        <v>404</v>
      </c>
      <c r="D339" s="5" t="s">
        <v>407</v>
      </c>
      <c r="F339" s="6">
        <v>45691</v>
      </c>
      <c r="G339" s="6">
        <v>46059</v>
      </c>
      <c r="H339" s="10" t="str">
        <f t="shared" ca="1" si="12"/>
        <v>Prazo encerrado</v>
      </c>
      <c r="I339" s="8" t="s">
        <v>16</v>
      </c>
      <c r="J339" s="8" t="s">
        <v>17</v>
      </c>
      <c r="K339" s="9" t="s">
        <v>18</v>
      </c>
      <c r="L339" s="9" t="s">
        <v>57</v>
      </c>
      <c r="M339" s="5" t="s">
        <v>58</v>
      </c>
    </row>
    <row r="340" spans="1:13">
      <c r="A340" s="5" t="s">
        <v>54</v>
      </c>
      <c r="C340" s="12" t="s">
        <v>404</v>
      </c>
      <c r="D340" s="5" t="s">
        <v>408</v>
      </c>
      <c r="F340" s="6">
        <v>45691</v>
      </c>
      <c r="G340" s="6">
        <v>46059</v>
      </c>
      <c r="H340" s="10" t="str">
        <f t="shared" ca="1" si="12"/>
        <v>Prazo encerrado</v>
      </c>
      <c r="I340" s="8" t="s">
        <v>16</v>
      </c>
      <c r="J340" s="8" t="s">
        <v>17</v>
      </c>
      <c r="K340" s="9" t="s">
        <v>18</v>
      </c>
      <c r="L340" s="9" t="s">
        <v>57</v>
      </c>
      <c r="M340" s="5" t="s">
        <v>58</v>
      </c>
    </row>
    <row r="341" spans="1:13">
      <c r="A341" s="5" t="s">
        <v>54</v>
      </c>
      <c r="C341" s="12" t="s">
        <v>404</v>
      </c>
      <c r="D341" s="5" t="s">
        <v>409</v>
      </c>
      <c r="F341" s="6">
        <v>45691</v>
      </c>
      <c r="G341" s="6">
        <v>46059</v>
      </c>
      <c r="H341" s="10" t="str">
        <f t="shared" ca="1" si="12"/>
        <v>Prazo encerrado</v>
      </c>
      <c r="I341" s="8" t="s">
        <v>16</v>
      </c>
      <c r="J341" s="8" t="s">
        <v>17</v>
      </c>
      <c r="K341" s="9" t="s">
        <v>18</v>
      </c>
      <c r="L341" s="9" t="s">
        <v>57</v>
      </c>
      <c r="M341" s="5" t="s">
        <v>58</v>
      </c>
    </row>
    <row r="342" spans="1:13">
      <c r="A342" s="5" t="s">
        <v>54</v>
      </c>
      <c r="C342" s="12" t="s">
        <v>404</v>
      </c>
      <c r="D342" s="5" t="s">
        <v>410</v>
      </c>
      <c r="F342" s="6">
        <v>45691</v>
      </c>
      <c r="G342" s="6">
        <v>46059</v>
      </c>
      <c r="H342" s="10" t="str">
        <f t="shared" ca="1" si="12"/>
        <v>Prazo encerrado</v>
      </c>
      <c r="I342" s="8" t="s">
        <v>16</v>
      </c>
      <c r="J342" s="8" t="s">
        <v>17</v>
      </c>
      <c r="K342" s="9" t="s">
        <v>18</v>
      </c>
      <c r="L342" s="9" t="s">
        <v>57</v>
      </c>
      <c r="M342" s="5" t="s">
        <v>58</v>
      </c>
    </row>
    <row r="343" spans="1:13">
      <c r="A343" s="5" t="s">
        <v>54</v>
      </c>
      <c r="C343" s="12" t="s">
        <v>404</v>
      </c>
      <c r="D343" s="5" t="s">
        <v>411</v>
      </c>
      <c r="F343" s="6">
        <v>45691</v>
      </c>
      <c r="G343" s="6">
        <v>46059</v>
      </c>
      <c r="H343" s="10" t="str">
        <f t="shared" ca="1" si="12"/>
        <v>Prazo encerrado</v>
      </c>
      <c r="I343" s="8" t="s">
        <v>16</v>
      </c>
      <c r="J343" s="8" t="s">
        <v>17</v>
      </c>
      <c r="K343" s="9" t="s">
        <v>18</v>
      </c>
      <c r="L343" s="9" t="s">
        <v>57</v>
      </c>
      <c r="M343" s="5" t="s">
        <v>58</v>
      </c>
    </row>
    <row r="344" spans="1:13">
      <c r="A344" s="5" t="s">
        <v>54</v>
      </c>
      <c r="C344" s="12" t="s">
        <v>404</v>
      </c>
      <c r="D344" s="5" t="s">
        <v>412</v>
      </c>
      <c r="F344" s="6">
        <v>45691</v>
      </c>
      <c r="G344" s="6">
        <v>46059</v>
      </c>
      <c r="H344" s="10" t="str">
        <f t="shared" ca="1" si="12"/>
        <v>Prazo encerrado</v>
      </c>
      <c r="I344" s="8" t="s">
        <v>16</v>
      </c>
      <c r="J344" s="8" t="s">
        <v>17</v>
      </c>
      <c r="K344" s="9" t="s">
        <v>18</v>
      </c>
      <c r="L344" s="9" t="s">
        <v>57</v>
      </c>
      <c r="M344" s="5" t="s">
        <v>58</v>
      </c>
    </row>
    <row r="345" spans="1:13">
      <c r="A345" s="5" t="s">
        <v>54</v>
      </c>
      <c r="C345" s="12" t="s">
        <v>413</v>
      </c>
      <c r="D345" s="5" t="s">
        <v>414</v>
      </c>
      <c r="F345" s="6">
        <v>46035</v>
      </c>
      <c r="G345" s="6">
        <v>46048</v>
      </c>
      <c r="H345" s="10" t="str">
        <f t="shared" ca="1" si="12"/>
        <v>Prazo encerrado</v>
      </c>
      <c r="I345" s="8" t="s">
        <v>16</v>
      </c>
      <c r="J345" s="8" t="s">
        <v>17</v>
      </c>
      <c r="K345" s="9" t="s">
        <v>56</v>
      </c>
      <c r="L345" s="8" t="s">
        <v>57</v>
      </c>
      <c r="M345" s="5" t="s">
        <v>58</v>
      </c>
    </row>
    <row r="346" spans="1:13">
      <c r="A346" s="5" t="s">
        <v>54</v>
      </c>
      <c r="C346" s="12" t="s">
        <v>415</v>
      </c>
      <c r="D346" s="5" t="s">
        <v>414</v>
      </c>
      <c r="F346" s="6">
        <v>46035</v>
      </c>
      <c r="G346" s="6">
        <v>46048</v>
      </c>
      <c r="H346" s="10" t="str">
        <f t="shared" ca="1" si="12"/>
        <v>Prazo encerrado</v>
      </c>
      <c r="I346" s="8" t="s">
        <v>16</v>
      </c>
      <c r="J346" s="8" t="s">
        <v>17</v>
      </c>
      <c r="K346" s="9" t="s">
        <v>56</v>
      </c>
      <c r="L346" s="8" t="s">
        <v>57</v>
      </c>
      <c r="M346" s="5" t="s">
        <v>58</v>
      </c>
    </row>
    <row r="347" spans="1:13">
      <c r="A347" s="5" t="s">
        <v>54</v>
      </c>
      <c r="C347" s="12" t="s">
        <v>416</v>
      </c>
      <c r="D347" s="5" t="s">
        <v>414</v>
      </c>
      <c r="F347" s="6">
        <v>46035</v>
      </c>
      <c r="G347" s="6">
        <v>46083</v>
      </c>
      <c r="H347" s="10">
        <f t="shared" ca="1" si="12"/>
        <v>20</v>
      </c>
      <c r="I347" s="8" t="s">
        <v>71</v>
      </c>
      <c r="J347" s="8" t="s">
        <v>17</v>
      </c>
      <c r="K347" s="9" t="s">
        <v>56</v>
      </c>
      <c r="L347" s="8" t="s">
        <v>57</v>
      </c>
      <c r="M347" s="5" t="s">
        <v>58</v>
      </c>
    </row>
    <row r="348" spans="1:13">
      <c r="A348" s="5" t="s">
        <v>54</v>
      </c>
      <c r="C348" s="12" t="s">
        <v>417</v>
      </c>
      <c r="D348" s="5" t="s">
        <v>414</v>
      </c>
      <c r="F348" s="6">
        <v>46035</v>
      </c>
      <c r="G348" s="6">
        <v>46113</v>
      </c>
      <c r="H348" s="10">
        <f t="shared" ca="1" si="12"/>
        <v>50</v>
      </c>
      <c r="I348" s="8" t="s">
        <v>71</v>
      </c>
      <c r="J348" s="8" t="s">
        <v>17</v>
      </c>
      <c r="K348" s="9" t="s">
        <v>56</v>
      </c>
      <c r="L348" s="8" t="s">
        <v>57</v>
      </c>
      <c r="M348" s="5" t="s">
        <v>58</v>
      </c>
    </row>
    <row r="349" spans="1:13">
      <c r="A349" s="5" t="s">
        <v>54</v>
      </c>
      <c r="C349" s="12" t="s">
        <v>418</v>
      </c>
      <c r="D349" s="5" t="s">
        <v>414</v>
      </c>
      <c r="F349" s="6">
        <v>46035</v>
      </c>
      <c r="G349" s="6">
        <v>46127</v>
      </c>
      <c r="H349" s="10">
        <f t="shared" ca="1" si="12"/>
        <v>64</v>
      </c>
      <c r="I349" s="8" t="s">
        <v>71</v>
      </c>
      <c r="J349" s="8" t="s">
        <v>17</v>
      </c>
      <c r="K349" s="9" t="s">
        <v>56</v>
      </c>
      <c r="L349" s="8" t="s">
        <v>57</v>
      </c>
      <c r="M349" s="5" t="s">
        <v>58</v>
      </c>
    </row>
    <row r="350" spans="1:13">
      <c r="A350" s="5" t="s">
        <v>54</v>
      </c>
      <c r="C350" s="12" t="s">
        <v>419</v>
      </c>
      <c r="D350" s="5" t="s">
        <v>390</v>
      </c>
      <c r="F350" s="6">
        <v>46049</v>
      </c>
      <c r="G350" s="6">
        <v>46052</v>
      </c>
      <c r="H350" s="10" t="str">
        <f ca="1">IF(INT(G350-TODAY())&lt;=0,"Prazo encerrado",INT(G350-TODAY()))</f>
        <v>Prazo encerrado</v>
      </c>
      <c r="I350" s="8" t="s">
        <v>16</v>
      </c>
      <c r="J350" s="8" t="s">
        <v>17</v>
      </c>
      <c r="K350" s="9" t="s">
        <v>56</v>
      </c>
      <c r="L350" s="9" t="s">
        <v>57</v>
      </c>
      <c r="M350" s="5" t="s">
        <v>58</v>
      </c>
    </row>
    <row r="351" spans="1:13">
      <c r="A351" s="5" t="s">
        <v>54</v>
      </c>
      <c r="C351" s="12" t="s">
        <v>419</v>
      </c>
      <c r="D351" s="5" t="s">
        <v>391</v>
      </c>
      <c r="F351" s="6">
        <v>46049</v>
      </c>
      <c r="G351" s="6">
        <v>46052</v>
      </c>
      <c r="H351" s="10" t="str">
        <f ca="1">IF(INT(G351-TODAY())&lt;=0,"Prazo encerrado",INT(G351-TODAY()))</f>
        <v>Prazo encerrado</v>
      </c>
      <c r="I351" s="8" t="s">
        <v>16</v>
      </c>
      <c r="J351" s="8" t="s">
        <v>17</v>
      </c>
      <c r="K351" s="9" t="s">
        <v>56</v>
      </c>
      <c r="L351" s="9" t="s">
        <v>57</v>
      </c>
      <c r="M351" s="5" t="s">
        <v>58</v>
      </c>
    </row>
    <row r="352" spans="1:13">
      <c r="A352" s="5" t="s">
        <v>54</v>
      </c>
      <c r="C352" s="12" t="s">
        <v>419</v>
      </c>
      <c r="D352" s="5" t="s">
        <v>420</v>
      </c>
      <c r="F352" s="6">
        <v>46049</v>
      </c>
      <c r="G352" s="6">
        <v>46052</v>
      </c>
      <c r="H352" s="10" t="str">
        <f ca="1">IF(INT(G352-TODAY())&lt;=0,"Prazo encerrado",INT(G352-TODAY()))</f>
        <v>Prazo encerrado</v>
      </c>
      <c r="I352" s="8" t="s">
        <v>16</v>
      </c>
      <c r="J352" s="8" t="s">
        <v>17</v>
      </c>
      <c r="K352" s="9" t="s">
        <v>56</v>
      </c>
      <c r="L352" s="9" t="s">
        <v>57</v>
      </c>
      <c r="M352" s="5" t="s">
        <v>58</v>
      </c>
    </row>
    <row r="353" spans="1:13">
      <c r="A353" s="5" t="s">
        <v>54</v>
      </c>
      <c r="C353" s="12" t="s">
        <v>419</v>
      </c>
      <c r="D353" s="5" t="s">
        <v>421</v>
      </c>
      <c r="F353" s="6">
        <v>46049</v>
      </c>
      <c r="G353" s="6">
        <v>46052</v>
      </c>
      <c r="H353" s="10" t="str">
        <f ca="1">IF(INT(G353-TODAY())&lt;=0,"Prazo encerrado",INT(G353-TODAY()))</f>
        <v>Prazo encerrado</v>
      </c>
      <c r="I353" s="8" t="s">
        <v>16</v>
      </c>
      <c r="J353" s="8" t="s">
        <v>17</v>
      </c>
      <c r="K353" s="9" t="s">
        <v>56</v>
      </c>
      <c r="L353" s="9" t="s">
        <v>57</v>
      </c>
      <c r="M353" s="5" t="s">
        <v>58</v>
      </c>
    </row>
    <row r="354" spans="1:13">
      <c r="A354" s="5" t="s">
        <v>54</v>
      </c>
      <c r="C354" s="12" t="s">
        <v>419</v>
      </c>
      <c r="D354" s="5" t="s">
        <v>392</v>
      </c>
      <c r="F354" s="6">
        <v>46049</v>
      </c>
      <c r="G354" s="6">
        <v>46052</v>
      </c>
      <c r="H354" s="10" t="str">
        <f ca="1">IF(INT(G354-TODAY())&lt;=0,"Prazo encerrado",INT(G354-TODAY()))</f>
        <v>Prazo encerrado</v>
      </c>
      <c r="I354" s="8" t="s">
        <v>16</v>
      </c>
      <c r="J354" s="8" t="s">
        <v>17</v>
      </c>
      <c r="K354" s="9" t="s">
        <v>56</v>
      </c>
      <c r="L354" s="9" t="s">
        <v>57</v>
      </c>
      <c r="M354" s="5" t="s">
        <v>58</v>
      </c>
    </row>
    <row r="355" spans="1:13">
      <c r="A355" s="5" t="s">
        <v>54</v>
      </c>
      <c r="C355" s="12" t="s">
        <v>422</v>
      </c>
      <c r="D355" s="5" t="s">
        <v>390</v>
      </c>
      <c r="F355" s="6">
        <v>46050</v>
      </c>
      <c r="G355" s="6">
        <v>46059</v>
      </c>
      <c r="H355" s="10" t="str">
        <f t="shared" ref="H355:H359" ca="1" si="13">IF(INT(G355-TODAY())&lt;=0,"Prazo encerrado",INT(G355-TODAY()))</f>
        <v>Prazo encerrado</v>
      </c>
      <c r="I355" s="8" t="s">
        <v>16</v>
      </c>
      <c r="J355" s="8" t="s">
        <v>17</v>
      </c>
      <c r="K355" s="9" t="s">
        <v>56</v>
      </c>
      <c r="L355" s="9" t="s">
        <v>57</v>
      </c>
      <c r="M355" s="5" t="s">
        <v>58</v>
      </c>
    </row>
    <row r="356" spans="1:13">
      <c r="A356" s="5" t="s">
        <v>54</v>
      </c>
      <c r="C356" s="12" t="s">
        <v>422</v>
      </c>
      <c r="D356" s="5" t="s">
        <v>391</v>
      </c>
      <c r="F356" s="6">
        <v>46050</v>
      </c>
      <c r="G356" s="6">
        <v>46059</v>
      </c>
      <c r="H356" s="10" t="str">
        <f t="shared" ca="1" si="13"/>
        <v>Prazo encerrado</v>
      </c>
      <c r="I356" s="8" t="s">
        <v>16</v>
      </c>
      <c r="J356" s="8" t="s">
        <v>17</v>
      </c>
      <c r="K356" s="9" t="s">
        <v>56</v>
      </c>
      <c r="L356" s="9" t="s">
        <v>57</v>
      </c>
      <c r="M356" s="5" t="s">
        <v>58</v>
      </c>
    </row>
    <row r="357" spans="1:13">
      <c r="A357" s="5" t="s">
        <v>54</v>
      </c>
      <c r="C357" s="12" t="s">
        <v>422</v>
      </c>
      <c r="D357" s="5" t="s">
        <v>420</v>
      </c>
      <c r="F357" s="6">
        <v>46050</v>
      </c>
      <c r="G357" s="6">
        <v>46059</v>
      </c>
      <c r="H357" s="10" t="str">
        <f t="shared" ca="1" si="13"/>
        <v>Prazo encerrado</v>
      </c>
      <c r="I357" s="8" t="s">
        <v>16</v>
      </c>
      <c r="J357" s="8" t="s">
        <v>17</v>
      </c>
      <c r="K357" s="9" t="s">
        <v>56</v>
      </c>
      <c r="L357" s="9" t="s">
        <v>57</v>
      </c>
      <c r="M357" s="5" t="s">
        <v>58</v>
      </c>
    </row>
    <row r="358" spans="1:13">
      <c r="A358" s="5" t="s">
        <v>54</v>
      </c>
      <c r="C358" s="12" t="s">
        <v>422</v>
      </c>
      <c r="D358" s="5" t="s">
        <v>421</v>
      </c>
      <c r="F358" s="6">
        <v>46050</v>
      </c>
      <c r="G358" s="6">
        <v>46059</v>
      </c>
      <c r="H358" s="10" t="str">
        <f t="shared" ca="1" si="13"/>
        <v>Prazo encerrado</v>
      </c>
      <c r="I358" s="8" t="s">
        <v>16</v>
      </c>
      <c r="J358" s="8" t="s">
        <v>17</v>
      </c>
      <c r="K358" s="9" t="s">
        <v>56</v>
      </c>
      <c r="L358" s="9" t="s">
        <v>57</v>
      </c>
      <c r="M358" s="5" t="s">
        <v>58</v>
      </c>
    </row>
    <row r="359" spans="1:13">
      <c r="A359" s="5" t="s">
        <v>54</v>
      </c>
      <c r="C359" s="12" t="s">
        <v>422</v>
      </c>
      <c r="D359" s="5" t="s">
        <v>392</v>
      </c>
      <c r="F359" s="6">
        <v>46050</v>
      </c>
      <c r="G359" s="6">
        <v>46059</v>
      </c>
      <c r="H359" s="10" t="str">
        <f t="shared" ca="1" si="13"/>
        <v>Prazo encerrado</v>
      </c>
      <c r="I359" s="8" t="s">
        <v>16</v>
      </c>
      <c r="J359" s="8" t="s">
        <v>17</v>
      </c>
      <c r="K359" s="9" t="s">
        <v>56</v>
      </c>
      <c r="L359" s="9" t="s">
        <v>57</v>
      </c>
      <c r="M359" s="5" t="s">
        <v>58</v>
      </c>
    </row>
    <row r="360" spans="1:13">
      <c r="A360" s="5" t="s">
        <v>54</v>
      </c>
      <c r="C360" s="12" t="s">
        <v>423</v>
      </c>
      <c r="D360" s="5" t="s">
        <v>276</v>
      </c>
      <c r="F360" s="6">
        <v>46023</v>
      </c>
      <c r="G360" s="6">
        <v>46050</v>
      </c>
      <c r="H360" s="10" t="str">
        <f t="shared" ref="H360:H387" ca="1" si="14">IF(INT(G360-TODAY())&lt;=0,"Prazo encerrado",INT(G360-TODAY()))</f>
        <v>Prazo encerrado</v>
      </c>
      <c r="I360" s="8" t="s">
        <v>16</v>
      </c>
      <c r="J360" s="8" t="s">
        <v>17</v>
      </c>
      <c r="K360" s="8" t="s">
        <v>18</v>
      </c>
      <c r="L360" s="8" t="s">
        <v>19</v>
      </c>
    </row>
    <row r="361" spans="1:13">
      <c r="A361" s="5" t="s">
        <v>54</v>
      </c>
      <c r="C361" s="12" t="s">
        <v>423</v>
      </c>
      <c r="D361" s="5" t="s">
        <v>277</v>
      </c>
      <c r="F361" s="6">
        <v>46023</v>
      </c>
      <c r="G361" s="6">
        <v>46050</v>
      </c>
      <c r="H361" s="10" t="str">
        <f t="shared" ca="1" si="14"/>
        <v>Prazo encerrado</v>
      </c>
      <c r="I361" s="8" t="s">
        <v>16</v>
      </c>
      <c r="J361" s="8" t="s">
        <v>17</v>
      </c>
      <c r="K361" s="8" t="s">
        <v>18</v>
      </c>
      <c r="L361" s="8" t="s">
        <v>19</v>
      </c>
    </row>
    <row r="362" spans="1:13">
      <c r="A362" s="5" t="s">
        <v>54</v>
      </c>
      <c r="C362" s="12" t="s">
        <v>423</v>
      </c>
      <c r="D362" s="5" t="s">
        <v>21</v>
      </c>
      <c r="F362" s="6">
        <v>46023</v>
      </c>
      <c r="G362" s="6">
        <v>46050</v>
      </c>
      <c r="H362" s="10" t="str">
        <f t="shared" ca="1" si="14"/>
        <v>Prazo encerrado</v>
      </c>
      <c r="I362" s="8" t="s">
        <v>16</v>
      </c>
      <c r="J362" s="8" t="s">
        <v>17</v>
      </c>
      <c r="K362" s="8" t="s">
        <v>18</v>
      </c>
      <c r="L362" s="8" t="s">
        <v>19</v>
      </c>
    </row>
    <row r="363" spans="1:13">
      <c r="A363" s="5" t="s">
        <v>54</v>
      </c>
      <c r="C363" s="12" t="s">
        <v>423</v>
      </c>
      <c r="D363" s="5" t="s">
        <v>23</v>
      </c>
      <c r="F363" s="6">
        <v>46023</v>
      </c>
      <c r="G363" s="6">
        <v>46065</v>
      </c>
      <c r="H363" s="10">
        <f t="shared" ca="1" si="14"/>
        <v>2</v>
      </c>
      <c r="I363" s="8" t="s">
        <v>16</v>
      </c>
      <c r="J363" s="8" t="s">
        <v>17</v>
      </c>
      <c r="K363" s="8" t="s">
        <v>56</v>
      </c>
      <c r="L363" s="8" t="s">
        <v>57</v>
      </c>
    </row>
    <row r="364" spans="1:13">
      <c r="A364" s="5" t="s">
        <v>54</v>
      </c>
      <c r="C364" s="12" t="s">
        <v>423</v>
      </c>
      <c r="D364" s="5" t="s">
        <v>278</v>
      </c>
      <c r="F364" s="6">
        <v>46023</v>
      </c>
      <c r="G364" s="6">
        <v>46070</v>
      </c>
      <c r="H364" s="10">
        <f t="shared" ca="1" si="14"/>
        <v>7</v>
      </c>
      <c r="I364" s="8" t="s">
        <v>16</v>
      </c>
      <c r="J364" s="8" t="s">
        <v>17</v>
      </c>
      <c r="K364" s="8" t="s">
        <v>56</v>
      </c>
      <c r="L364" s="8" t="s">
        <v>57</v>
      </c>
    </row>
    <row r="365" spans="1:13">
      <c r="A365" s="5" t="s">
        <v>54</v>
      </c>
      <c r="C365" s="12" t="s">
        <v>423</v>
      </c>
      <c r="D365" s="5" t="s">
        <v>279</v>
      </c>
      <c r="F365" s="6">
        <v>46023</v>
      </c>
      <c r="G365" s="6">
        <v>46070</v>
      </c>
      <c r="H365" s="10">
        <f t="shared" ca="1" si="14"/>
        <v>7</v>
      </c>
      <c r="I365" s="8" t="s">
        <v>16</v>
      </c>
      <c r="J365" s="8" t="s">
        <v>17</v>
      </c>
      <c r="K365" s="8" t="s">
        <v>56</v>
      </c>
      <c r="L365" s="8" t="s">
        <v>57</v>
      </c>
    </row>
    <row r="366" spans="1:13">
      <c r="A366" s="5" t="s">
        <v>54</v>
      </c>
      <c r="C366" s="12" t="s">
        <v>423</v>
      </c>
      <c r="D366" s="5" t="s">
        <v>26</v>
      </c>
      <c r="F366" s="6">
        <v>46023</v>
      </c>
      <c r="G366" s="6">
        <v>46070</v>
      </c>
      <c r="H366" s="10">
        <f t="shared" ca="1" si="14"/>
        <v>7</v>
      </c>
      <c r="I366" s="8" t="s">
        <v>16</v>
      </c>
      <c r="J366" s="8" t="s">
        <v>17</v>
      </c>
      <c r="K366" s="8" t="s">
        <v>56</v>
      </c>
      <c r="L366" s="8" t="s">
        <v>57</v>
      </c>
    </row>
    <row r="367" spans="1:13">
      <c r="A367" s="5" t="s">
        <v>54</v>
      </c>
      <c r="C367" s="12" t="s">
        <v>423</v>
      </c>
      <c r="D367" s="5" t="s">
        <v>27</v>
      </c>
      <c r="F367" s="6">
        <v>46023</v>
      </c>
      <c r="G367" s="6">
        <v>46063</v>
      </c>
      <c r="H367" s="10" t="str">
        <f t="shared" ca="1" si="14"/>
        <v>Prazo encerrado</v>
      </c>
      <c r="I367" s="8" t="s">
        <v>16</v>
      </c>
      <c r="J367" s="8" t="s">
        <v>17</v>
      </c>
      <c r="K367" s="8" t="s">
        <v>56</v>
      </c>
      <c r="L367" s="8" t="s">
        <v>57</v>
      </c>
    </row>
    <row r="368" spans="1:13">
      <c r="A368" s="5" t="s">
        <v>54</v>
      </c>
      <c r="C368" s="12" t="s">
        <v>423</v>
      </c>
      <c r="D368" s="5" t="s">
        <v>28</v>
      </c>
      <c r="F368" s="6">
        <v>46023</v>
      </c>
      <c r="G368" s="6">
        <v>46070</v>
      </c>
      <c r="H368" s="10">
        <f t="shared" ca="1" si="14"/>
        <v>7</v>
      </c>
      <c r="I368" s="8" t="s">
        <v>16</v>
      </c>
      <c r="J368" s="8" t="s">
        <v>17</v>
      </c>
      <c r="K368" s="8" t="s">
        <v>56</v>
      </c>
      <c r="L368" s="8" t="s">
        <v>57</v>
      </c>
    </row>
    <row r="369" spans="1:12">
      <c r="A369" s="5" t="s">
        <v>54</v>
      </c>
      <c r="C369" s="12" t="s">
        <v>423</v>
      </c>
      <c r="D369" s="5" t="s">
        <v>424</v>
      </c>
      <c r="F369" s="6">
        <v>46057</v>
      </c>
      <c r="G369" s="6">
        <v>46070</v>
      </c>
      <c r="H369" s="10">
        <f t="shared" ca="1" si="14"/>
        <v>7</v>
      </c>
      <c r="I369" s="8" t="s">
        <v>16</v>
      </c>
      <c r="J369" s="8" t="s">
        <v>17</v>
      </c>
      <c r="K369" s="8" t="s">
        <v>56</v>
      </c>
      <c r="L369" s="8" t="s">
        <v>57</v>
      </c>
    </row>
    <row r="370" spans="1:12">
      <c r="A370" s="5" t="s">
        <v>54</v>
      </c>
      <c r="C370" s="12" t="s">
        <v>423</v>
      </c>
      <c r="D370" s="5" t="s">
        <v>425</v>
      </c>
      <c r="F370" s="6">
        <v>46057</v>
      </c>
      <c r="G370" s="6">
        <v>46070</v>
      </c>
      <c r="H370" s="10">
        <f t="shared" ca="1" si="14"/>
        <v>7</v>
      </c>
      <c r="I370" s="8" t="s">
        <v>16</v>
      </c>
      <c r="J370" s="8" t="s">
        <v>17</v>
      </c>
      <c r="K370" s="8" t="s">
        <v>56</v>
      </c>
      <c r="L370" s="8" t="s">
        <v>57</v>
      </c>
    </row>
    <row r="371" spans="1:12">
      <c r="A371" s="5" t="s">
        <v>54</v>
      </c>
      <c r="C371" s="12" t="s">
        <v>423</v>
      </c>
      <c r="D371" s="5" t="s">
        <v>35</v>
      </c>
      <c r="F371" s="6">
        <v>46023</v>
      </c>
      <c r="G371" s="6">
        <v>46070</v>
      </c>
      <c r="H371" s="10">
        <f t="shared" ca="1" si="14"/>
        <v>7</v>
      </c>
      <c r="I371" s="8" t="s">
        <v>16</v>
      </c>
      <c r="J371" s="8" t="s">
        <v>17</v>
      </c>
      <c r="K371" s="8" t="s">
        <v>56</v>
      </c>
      <c r="L371" s="8" t="s">
        <v>57</v>
      </c>
    </row>
    <row r="372" spans="1:12">
      <c r="A372" s="5" t="s">
        <v>54</v>
      </c>
      <c r="C372" s="12" t="s">
        <v>423</v>
      </c>
      <c r="D372" s="5" t="s">
        <v>40</v>
      </c>
      <c r="F372" s="6">
        <v>46057</v>
      </c>
      <c r="G372" s="6">
        <v>46070</v>
      </c>
      <c r="H372" s="10">
        <f t="shared" ca="1" si="14"/>
        <v>7</v>
      </c>
      <c r="I372" s="8" t="s">
        <v>16</v>
      </c>
      <c r="J372" s="8" t="s">
        <v>17</v>
      </c>
      <c r="K372" s="8" t="s">
        <v>56</v>
      </c>
      <c r="L372" s="8" t="s">
        <v>57</v>
      </c>
    </row>
    <row r="373" spans="1:12">
      <c r="A373" s="5" t="s">
        <v>54</v>
      </c>
      <c r="C373" s="12" t="s">
        <v>423</v>
      </c>
      <c r="D373" s="5" t="s">
        <v>41</v>
      </c>
      <c r="F373" s="6">
        <v>46057</v>
      </c>
      <c r="G373" s="6">
        <v>46070</v>
      </c>
      <c r="H373" s="10">
        <f t="shared" ca="1" si="14"/>
        <v>7</v>
      </c>
      <c r="I373" s="8" t="s">
        <v>16</v>
      </c>
      <c r="J373" s="8" t="s">
        <v>17</v>
      </c>
      <c r="K373" s="8" t="s">
        <v>56</v>
      </c>
      <c r="L373" s="8" t="s">
        <v>57</v>
      </c>
    </row>
    <row r="374" spans="1:12">
      <c r="A374" s="5" t="s">
        <v>54</v>
      </c>
      <c r="C374" s="12" t="s">
        <v>423</v>
      </c>
      <c r="D374" s="5" t="s">
        <v>283</v>
      </c>
      <c r="F374" s="6">
        <v>46057</v>
      </c>
      <c r="G374" s="6">
        <v>46070</v>
      </c>
      <c r="H374" s="10">
        <f t="shared" ca="1" si="14"/>
        <v>7</v>
      </c>
      <c r="I374" s="8" t="s">
        <v>16</v>
      </c>
      <c r="J374" s="8" t="s">
        <v>17</v>
      </c>
      <c r="K374" s="8" t="s">
        <v>56</v>
      </c>
      <c r="L374" s="8" t="s">
        <v>57</v>
      </c>
    </row>
    <row r="375" spans="1:12">
      <c r="A375" s="5" t="s">
        <v>54</v>
      </c>
      <c r="C375" s="12" t="s">
        <v>423</v>
      </c>
      <c r="D375" s="5" t="s">
        <v>284</v>
      </c>
      <c r="F375" s="6">
        <v>46057</v>
      </c>
      <c r="G375" s="6">
        <v>46070</v>
      </c>
      <c r="H375" s="10">
        <f t="shared" ca="1" si="14"/>
        <v>7</v>
      </c>
      <c r="I375" s="8" t="s">
        <v>16</v>
      </c>
      <c r="J375" s="8" t="s">
        <v>17</v>
      </c>
      <c r="K375" s="8" t="s">
        <v>56</v>
      </c>
      <c r="L375" s="8" t="s">
        <v>57</v>
      </c>
    </row>
    <row r="376" spans="1:12">
      <c r="A376" s="5" t="s">
        <v>54</v>
      </c>
      <c r="C376" s="12" t="s">
        <v>423</v>
      </c>
      <c r="D376" s="5" t="s">
        <v>285</v>
      </c>
      <c r="F376" s="6">
        <v>46057</v>
      </c>
      <c r="G376" s="6">
        <v>46070</v>
      </c>
      <c r="H376" s="10">
        <f t="shared" ca="1" si="14"/>
        <v>7</v>
      </c>
      <c r="I376" s="8" t="s">
        <v>16</v>
      </c>
      <c r="J376" s="8" t="s">
        <v>17</v>
      </c>
      <c r="K376" s="8" t="s">
        <v>56</v>
      </c>
      <c r="L376" s="8" t="s">
        <v>57</v>
      </c>
    </row>
    <row r="377" spans="1:12">
      <c r="A377" s="5" t="s">
        <v>54</v>
      </c>
      <c r="C377" s="12" t="s">
        <v>423</v>
      </c>
      <c r="D377" s="5" t="s">
        <v>286</v>
      </c>
      <c r="F377" s="6">
        <v>46057</v>
      </c>
      <c r="G377" s="6">
        <v>46070</v>
      </c>
      <c r="H377" s="10">
        <f t="shared" ca="1" si="14"/>
        <v>7</v>
      </c>
      <c r="I377" s="8" t="s">
        <v>16</v>
      </c>
      <c r="J377" s="8" t="s">
        <v>17</v>
      </c>
      <c r="K377" s="8" t="s">
        <v>56</v>
      </c>
      <c r="L377" s="8" t="s">
        <v>57</v>
      </c>
    </row>
    <row r="378" spans="1:12">
      <c r="A378" s="5" t="s">
        <v>54</v>
      </c>
      <c r="C378" s="12" t="s">
        <v>423</v>
      </c>
      <c r="D378" s="5" t="s">
        <v>48</v>
      </c>
      <c r="F378" s="6">
        <v>46057</v>
      </c>
      <c r="G378" s="6">
        <v>46070</v>
      </c>
      <c r="H378" s="10">
        <f t="shared" ca="1" si="14"/>
        <v>7</v>
      </c>
      <c r="I378" s="8" t="s">
        <v>16</v>
      </c>
      <c r="J378" s="8" t="s">
        <v>17</v>
      </c>
      <c r="K378" s="8" t="s">
        <v>56</v>
      </c>
      <c r="L378" s="8" t="s">
        <v>57</v>
      </c>
    </row>
    <row r="379" spans="1:12">
      <c r="A379" s="5" t="s">
        <v>54</v>
      </c>
      <c r="C379" s="12" t="s">
        <v>423</v>
      </c>
      <c r="D379" s="5" t="s">
        <v>49</v>
      </c>
      <c r="F379" s="6">
        <v>46057</v>
      </c>
      <c r="G379" s="6">
        <v>46070</v>
      </c>
      <c r="H379" s="10">
        <f t="shared" ca="1" si="14"/>
        <v>7</v>
      </c>
      <c r="I379" s="8" t="s">
        <v>16</v>
      </c>
      <c r="J379" s="8" t="s">
        <v>17</v>
      </c>
      <c r="K379" s="8" t="s">
        <v>56</v>
      </c>
      <c r="L379" s="8" t="s">
        <v>57</v>
      </c>
    </row>
    <row r="380" spans="1:12">
      <c r="A380" s="5" t="s">
        <v>54</v>
      </c>
      <c r="C380" s="12" t="s">
        <v>423</v>
      </c>
      <c r="D380" s="5" t="s">
        <v>289</v>
      </c>
      <c r="F380" s="6">
        <v>46057</v>
      </c>
      <c r="G380" s="6">
        <v>46066</v>
      </c>
      <c r="H380" s="10">
        <f t="shared" ca="1" si="14"/>
        <v>3</v>
      </c>
      <c r="I380" s="8" t="s">
        <v>16</v>
      </c>
      <c r="J380" s="8" t="s">
        <v>17</v>
      </c>
      <c r="K380" s="8" t="s">
        <v>56</v>
      </c>
      <c r="L380" s="8" t="s">
        <v>57</v>
      </c>
    </row>
    <row r="381" spans="1:12">
      <c r="A381" s="5" t="s">
        <v>54</v>
      </c>
      <c r="C381" s="12" t="s">
        <v>423</v>
      </c>
      <c r="D381" s="5" t="s">
        <v>290</v>
      </c>
      <c r="F381" s="6">
        <v>46057</v>
      </c>
      <c r="G381" s="6">
        <v>46070</v>
      </c>
      <c r="H381" s="10">
        <f t="shared" ca="1" si="14"/>
        <v>7</v>
      </c>
      <c r="I381" s="8" t="s">
        <v>16</v>
      </c>
      <c r="J381" s="8" t="s">
        <v>79</v>
      </c>
      <c r="K381" s="8" t="s">
        <v>56</v>
      </c>
      <c r="L381" s="8" t="s">
        <v>57</v>
      </c>
    </row>
    <row r="382" spans="1:12">
      <c r="A382" s="5" t="s">
        <v>54</v>
      </c>
      <c r="C382" s="12" t="s">
        <v>423</v>
      </c>
      <c r="D382" s="5" t="s">
        <v>55</v>
      </c>
      <c r="F382" s="6">
        <v>46057</v>
      </c>
      <c r="G382" s="6">
        <v>46070</v>
      </c>
      <c r="H382" s="10">
        <f t="shared" ca="1" si="14"/>
        <v>7</v>
      </c>
      <c r="I382" s="8" t="s">
        <v>16</v>
      </c>
      <c r="J382" s="8" t="s">
        <v>17</v>
      </c>
      <c r="K382" s="8" t="s">
        <v>56</v>
      </c>
      <c r="L382" s="8" t="s">
        <v>57</v>
      </c>
    </row>
    <row r="383" spans="1:12">
      <c r="A383" s="5" t="s">
        <v>54</v>
      </c>
      <c r="C383" s="12" t="s">
        <v>423</v>
      </c>
      <c r="D383" s="5" t="s">
        <v>291</v>
      </c>
      <c r="F383" s="6">
        <v>46057</v>
      </c>
      <c r="G383" s="6">
        <v>46070</v>
      </c>
      <c r="H383" s="10">
        <f t="shared" ca="1" si="14"/>
        <v>7</v>
      </c>
      <c r="I383" s="8" t="s">
        <v>16</v>
      </c>
      <c r="J383" s="8" t="s">
        <v>17</v>
      </c>
      <c r="K383" s="8" t="s">
        <v>56</v>
      </c>
      <c r="L383" s="8" t="s">
        <v>57</v>
      </c>
    </row>
    <row r="384" spans="1:12">
      <c r="A384" s="5" t="s">
        <v>54</v>
      </c>
      <c r="C384" s="12" t="s">
        <v>423</v>
      </c>
      <c r="D384" s="5" t="s">
        <v>426</v>
      </c>
      <c r="F384" s="6">
        <v>46057</v>
      </c>
      <c r="G384" s="6">
        <v>46070</v>
      </c>
      <c r="H384" s="10">
        <f t="shared" ca="1" si="14"/>
        <v>7</v>
      </c>
      <c r="I384" s="8" t="s">
        <v>16</v>
      </c>
      <c r="J384" s="8" t="s">
        <v>17</v>
      </c>
      <c r="K384" s="8" t="s">
        <v>56</v>
      </c>
      <c r="L384" s="8" t="s">
        <v>57</v>
      </c>
    </row>
    <row r="385" spans="1:12">
      <c r="A385" s="5" t="s">
        <v>54</v>
      </c>
      <c r="C385" s="12" t="s">
        <v>423</v>
      </c>
      <c r="D385" s="5" t="s">
        <v>427</v>
      </c>
      <c r="F385" s="6">
        <v>46057</v>
      </c>
      <c r="G385" s="6">
        <v>46070</v>
      </c>
      <c r="H385" s="10">
        <f t="shared" ca="1" si="14"/>
        <v>7</v>
      </c>
      <c r="I385" s="8" t="s">
        <v>16</v>
      </c>
      <c r="J385" s="8" t="s">
        <v>17</v>
      </c>
      <c r="K385" s="8" t="s">
        <v>56</v>
      </c>
      <c r="L385" s="8" t="s">
        <v>57</v>
      </c>
    </row>
    <row r="386" spans="1:12">
      <c r="A386" s="5" t="s">
        <v>54</v>
      </c>
      <c r="C386" s="12" t="s">
        <v>423</v>
      </c>
      <c r="D386" s="5" t="s">
        <v>293</v>
      </c>
      <c r="F386" s="6">
        <v>46057</v>
      </c>
      <c r="G386" s="6">
        <v>46070</v>
      </c>
      <c r="H386" s="10">
        <f t="shared" ca="1" si="14"/>
        <v>7</v>
      </c>
      <c r="I386" s="8" t="s">
        <v>16</v>
      </c>
      <c r="J386" s="8" t="s">
        <v>17</v>
      </c>
      <c r="K386" s="8" t="s">
        <v>56</v>
      </c>
      <c r="L386" s="8" t="s">
        <v>57</v>
      </c>
    </row>
    <row r="387" spans="1:12">
      <c r="A387" s="5" t="s">
        <v>54</v>
      </c>
      <c r="C387" s="12" t="s">
        <v>423</v>
      </c>
      <c r="D387" s="5" t="s">
        <v>428</v>
      </c>
      <c r="F387" s="6">
        <v>46057</v>
      </c>
      <c r="G387" s="6">
        <v>46070</v>
      </c>
      <c r="H387" s="10">
        <f t="shared" ca="1" si="14"/>
        <v>7</v>
      </c>
      <c r="I387" s="8" t="s">
        <v>16</v>
      </c>
      <c r="J387" s="8" t="s">
        <v>17</v>
      </c>
      <c r="K387" s="8" t="s">
        <v>56</v>
      </c>
      <c r="L387" s="8" t="s">
        <v>57</v>
      </c>
    </row>
    <row r="388" spans="1:12">
      <c r="A388" s="5" t="s">
        <v>54</v>
      </c>
      <c r="C388" s="12" t="s">
        <v>429</v>
      </c>
      <c r="D388" s="5" t="s">
        <v>276</v>
      </c>
      <c r="F388" s="6">
        <v>46023</v>
      </c>
      <c r="G388" s="6">
        <v>46050</v>
      </c>
      <c r="H388" s="10" t="str">
        <f t="shared" ref="H388:H451" ca="1" si="15">IF(INT(G388-TODAY())&lt;=0,"Prazo encerrado",INT(G388-TODAY()))</f>
        <v>Prazo encerrado</v>
      </c>
      <c r="I388" s="8" t="s">
        <v>16</v>
      </c>
      <c r="J388" s="8" t="s">
        <v>17</v>
      </c>
      <c r="K388" s="8" t="s">
        <v>18</v>
      </c>
      <c r="L388" s="8" t="s">
        <v>19</v>
      </c>
    </row>
    <row r="389" spans="1:12">
      <c r="A389" s="5" t="s">
        <v>54</v>
      </c>
      <c r="C389" s="12" t="s">
        <v>429</v>
      </c>
      <c r="D389" s="5" t="s">
        <v>277</v>
      </c>
      <c r="F389" s="6">
        <v>46059</v>
      </c>
      <c r="G389" s="6">
        <v>46069</v>
      </c>
      <c r="H389" s="10">
        <f t="shared" ca="1" si="15"/>
        <v>6</v>
      </c>
      <c r="I389" s="8" t="s">
        <v>22</v>
      </c>
      <c r="J389" s="8" t="s">
        <v>17</v>
      </c>
      <c r="K389" s="8" t="s">
        <v>56</v>
      </c>
      <c r="L389" s="8" t="s">
        <v>57</v>
      </c>
    </row>
    <row r="390" spans="1:12">
      <c r="A390" s="5" t="s">
        <v>54</v>
      </c>
      <c r="C390" s="12" t="s">
        <v>429</v>
      </c>
      <c r="D390" s="5" t="s">
        <v>21</v>
      </c>
      <c r="F390" s="6">
        <v>46059</v>
      </c>
      <c r="G390" s="6">
        <v>46069</v>
      </c>
      <c r="H390" s="10">
        <f t="shared" ca="1" si="15"/>
        <v>6</v>
      </c>
      <c r="I390" s="8" t="s">
        <v>22</v>
      </c>
      <c r="J390" s="8" t="s">
        <v>17</v>
      </c>
      <c r="K390" s="8" t="s">
        <v>56</v>
      </c>
      <c r="L390" s="8" t="s">
        <v>57</v>
      </c>
    </row>
    <row r="391" spans="1:12">
      <c r="A391" s="5" t="s">
        <v>54</v>
      </c>
      <c r="C391" s="12" t="s">
        <v>429</v>
      </c>
      <c r="D391" s="5" t="s">
        <v>23</v>
      </c>
      <c r="F391" s="6">
        <v>46059</v>
      </c>
      <c r="G391" s="6">
        <v>46069</v>
      </c>
      <c r="H391" s="10">
        <f t="shared" ca="1" si="15"/>
        <v>6</v>
      </c>
      <c r="I391" s="8" t="s">
        <v>22</v>
      </c>
      <c r="J391" s="8" t="s">
        <v>17</v>
      </c>
      <c r="K391" s="8" t="s">
        <v>56</v>
      </c>
      <c r="L391" s="8" t="s">
        <v>57</v>
      </c>
    </row>
    <row r="392" spans="1:12">
      <c r="A392" s="5" t="s">
        <v>54</v>
      </c>
      <c r="C392" s="12" t="s">
        <v>429</v>
      </c>
      <c r="D392" s="5" t="s">
        <v>278</v>
      </c>
      <c r="F392" s="6">
        <v>46059</v>
      </c>
      <c r="G392" s="6">
        <v>46069</v>
      </c>
      <c r="H392" s="10">
        <f t="shared" ca="1" si="15"/>
        <v>6</v>
      </c>
      <c r="I392" s="8" t="s">
        <v>22</v>
      </c>
      <c r="J392" s="8" t="s">
        <v>17</v>
      </c>
      <c r="K392" s="8" t="s">
        <v>56</v>
      </c>
      <c r="L392" s="8" t="s">
        <v>57</v>
      </c>
    </row>
    <row r="393" spans="1:12">
      <c r="A393" s="5" t="s">
        <v>54</v>
      </c>
      <c r="C393" s="12" t="s">
        <v>429</v>
      </c>
      <c r="D393" s="5" t="s">
        <v>279</v>
      </c>
      <c r="F393" s="6">
        <v>46059</v>
      </c>
      <c r="G393" s="6">
        <v>46069</v>
      </c>
      <c r="H393" s="10">
        <f t="shared" ca="1" si="15"/>
        <v>6</v>
      </c>
      <c r="I393" s="8" t="s">
        <v>22</v>
      </c>
      <c r="J393" s="8" t="s">
        <v>17</v>
      </c>
      <c r="K393" s="8" t="s">
        <v>56</v>
      </c>
      <c r="L393" s="8" t="s">
        <v>57</v>
      </c>
    </row>
    <row r="394" spans="1:12">
      <c r="A394" s="5" t="s">
        <v>54</v>
      </c>
      <c r="C394" s="12" t="s">
        <v>429</v>
      </c>
      <c r="D394" s="5" t="s">
        <v>26</v>
      </c>
      <c r="F394" s="6">
        <v>46059</v>
      </c>
      <c r="G394" s="6">
        <v>46069</v>
      </c>
      <c r="H394" s="10">
        <f t="shared" ca="1" si="15"/>
        <v>6</v>
      </c>
      <c r="I394" s="8" t="s">
        <v>22</v>
      </c>
      <c r="J394" s="8" t="s">
        <v>17</v>
      </c>
      <c r="K394" s="8" t="s">
        <v>56</v>
      </c>
      <c r="L394" s="8" t="s">
        <v>57</v>
      </c>
    </row>
    <row r="395" spans="1:12">
      <c r="A395" s="5" t="s">
        <v>54</v>
      </c>
      <c r="C395" s="12" t="s">
        <v>429</v>
      </c>
      <c r="D395" s="5" t="s">
        <v>27</v>
      </c>
      <c r="F395" s="6">
        <v>46059</v>
      </c>
      <c r="G395" s="6">
        <v>46069</v>
      </c>
      <c r="H395" s="10">
        <f t="shared" ca="1" si="15"/>
        <v>6</v>
      </c>
      <c r="I395" s="8" t="s">
        <v>22</v>
      </c>
      <c r="J395" s="8" t="s">
        <v>17</v>
      </c>
      <c r="K395" s="8" t="s">
        <v>56</v>
      </c>
      <c r="L395" s="8" t="s">
        <v>57</v>
      </c>
    </row>
    <row r="396" spans="1:12">
      <c r="A396" s="5" t="s">
        <v>54</v>
      </c>
      <c r="C396" s="12" t="s">
        <v>429</v>
      </c>
      <c r="D396" s="5" t="s">
        <v>28</v>
      </c>
      <c r="F396" s="6">
        <v>46059</v>
      </c>
      <c r="G396" s="6">
        <v>46069</v>
      </c>
      <c r="H396" s="10">
        <f t="shared" ca="1" si="15"/>
        <v>6</v>
      </c>
      <c r="I396" s="8" t="s">
        <v>22</v>
      </c>
      <c r="J396" s="8" t="s">
        <v>17</v>
      </c>
      <c r="K396" s="8" t="s">
        <v>56</v>
      </c>
      <c r="L396" s="8" t="s">
        <v>57</v>
      </c>
    </row>
    <row r="397" spans="1:12">
      <c r="A397" s="5" t="s">
        <v>54</v>
      </c>
      <c r="C397" s="12" t="s">
        <v>429</v>
      </c>
      <c r="D397" s="5" t="s">
        <v>280</v>
      </c>
      <c r="F397" s="6">
        <v>46059</v>
      </c>
      <c r="G397" s="6">
        <v>46069</v>
      </c>
      <c r="H397" s="10">
        <f t="shared" ca="1" si="15"/>
        <v>6</v>
      </c>
      <c r="I397" s="8" t="s">
        <v>22</v>
      </c>
      <c r="J397" s="8" t="s">
        <v>17</v>
      </c>
      <c r="K397" s="8" t="s">
        <v>56</v>
      </c>
      <c r="L397" s="8" t="s">
        <v>57</v>
      </c>
    </row>
    <row r="398" spans="1:12">
      <c r="A398" s="5" t="s">
        <v>54</v>
      </c>
      <c r="C398" s="12" t="s">
        <v>429</v>
      </c>
      <c r="D398" s="5" t="s">
        <v>281</v>
      </c>
      <c r="F398" s="6">
        <v>46059</v>
      </c>
      <c r="G398" s="6">
        <v>46069</v>
      </c>
      <c r="H398" s="10">
        <f t="shared" ca="1" si="15"/>
        <v>6</v>
      </c>
      <c r="I398" s="8" t="s">
        <v>22</v>
      </c>
      <c r="J398" s="8" t="s">
        <v>17</v>
      </c>
      <c r="K398" s="8" t="s">
        <v>56</v>
      </c>
      <c r="L398" s="8" t="s">
        <v>57</v>
      </c>
    </row>
    <row r="399" spans="1:12">
      <c r="A399" s="5" t="s">
        <v>54</v>
      </c>
      <c r="C399" s="12" t="s">
        <v>429</v>
      </c>
      <c r="D399" s="5" t="s">
        <v>282</v>
      </c>
      <c r="F399" s="6">
        <v>46059</v>
      </c>
      <c r="G399" s="6">
        <v>46069</v>
      </c>
      <c r="H399" s="10">
        <f t="shared" ca="1" si="15"/>
        <v>6</v>
      </c>
      <c r="I399" s="8" t="s">
        <v>22</v>
      </c>
      <c r="J399" s="8" t="s">
        <v>17</v>
      </c>
      <c r="K399" s="8" t="s">
        <v>56</v>
      </c>
      <c r="L399" s="8" t="s">
        <v>57</v>
      </c>
    </row>
    <row r="400" spans="1:12">
      <c r="A400" s="5" t="s">
        <v>54</v>
      </c>
      <c r="C400" s="12" t="s">
        <v>429</v>
      </c>
      <c r="D400" s="5" t="s">
        <v>35</v>
      </c>
      <c r="F400" s="6">
        <v>46059</v>
      </c>
      <c r="G400" s="6">
        <v>46069</v>
      </c>
      <c r="H400" s="10">
        <f t="shared" ca="1" si="15"/>
        <v>6</v>
      </c>
      <c r="I400" s="8" t="s">
        <v>22</v>
      </c>
      <c r="J400" s="8" t="s">
        <v>17</v>
      </c>
      <c r="K400" s="8" t="s">
        <v>56</v>
      </c>
      <c r="L400" s="8" t="s">
        <v>57</v>
      </c>
    </row>
    <row r="401" spans="1:12">
      <c r="A401" s="5" t="s">
        <v>54</v>
      </c>
      <c r="C401" s="12" t="s">
        <v>429</v>
      </c>
      <c r="D401" s="5" t="s">
        <v>40</v>
      </c>
      <c r="F401" s="6">
        <v>46059</v>
      </c>
      <c r="G401" s="6">
        <v>46069</v>
      </c>
      <c r="H401" s="10">
        <f t="shared" ca="1" si="15"/>
        <v>6</v>
      </c>
      <c r="I401" s="8" t="s">
        <v>22</v>
      </c>
      <c r="J401" s="8" t="s">
        <v>17</v>
      </c>
      <c r="K401" s="8" t="s">
        <v>56</v>
      </c>
      <c r="L401" s="8" t="s">
        <v>57</v>
      </c>
    </row>
    <row r="402" spans="1:12">
      <c r="A402" s="5" t="s">
        <v>54</v>
      </c>
      <c r="C402" s="12" t="s">
        <v>429</v>
      </c>
      <c r="D402" s="5" t="s">
        <v>41</v>
      </c>
      <c r="F402" s="6">
        <v>46059</v>
      </c>
      <c r="G402" s="6">
        <v>46069</v>
      </c>
      <c r="H402" s="10">
        <f t="shared" ca="1" si="15"/>
        <v>6</v>
      </c>
      <c r="I402" s="8" t="s">
        <v>22</v>
      </c>
      <c r="J402" s="8" t="s">
        <v>17</v>
      </c>
      <c r="K402" s="8" t="s">
        <v>56</v>
      </c>
      <c r="L402" s="8" t="s">
        <v>57</v>
      </c>
    </row>
    <row r="403" spans="1:12">
      <c r="A403" s="5" t="s">
        <v>54</v>
      </c>
      <c r="C403" s="12" t="s">
        <v>429</v>
      </c>
      <c r="D403" s="5" t="s">
        <v>283</v>
      </c>
      <c r="F403" s="6">
        <v>46059</v>
      </c>
      <c r="G403" s="6">
        <v>46069</v>
      </c>
      <c r="H403" s="10">
        <f t="shared" ca="1" si="15"/>
        <v>6</v>
      </c>
      <c r="I403" s="8" t="s">
        <v>22</v>
      </c>
      <c r="J403" s="8" t="s">
        <v>17</v>
      </c>
      <c r="K403" s="8" t="s">
        <v>56</v>
      </c>
      <c r="L403" s="8" t="s">
        <v>57</v>
      </c>
    </row>
    <row r="404" spans="1:12">
      <c r="A404" s="5" t="s">
        <v>54</v>
      </c>
      <c r="C404" s="12" t="s">
        <v>429</v>
      </c>
      <c r="D404" s="5" t="s">
        <v>284</v>
      </c>
      <c r="F404" s="6">
        <v>46059</v>
      </c>
      <c r="G404" s="6">
        <v>46069</v>
      </c>
      <c r="H404" s="10">
        <f t="shared" ca="1" si="15"/>
        <v>6</v>
      </c>
      <c r="I404" s="8" t="s">
        <v>22</v>
      </c>
      <c r="J404" s="8" t="s">
        <v>17</v>
      </c>
      <c r="K404" s="8" t="s">
        <v>56</v>
      </c>
      <c r="L404" s="8" t="s">
        <v>57</v>
      </c>
    </row>
    <row r="405" spans="1:12">
      <c r="A405" s="5" t="s">
        <v>54</v>
      </c>
      <c r="C405" s="12" t="s">
        <v>429</v>
      </c>
      <c r="D405" s="5" t="s">
        <v>285</v>
      </c>
      <c r="F405" s="6">
        <v>46059</v>
      </c>
      <c r="G405" s="6">
        <v>46069</v>
      </c>
      <c r="H405" s="10">
        <f t="shared" ca="1" si="15"/>
        <v>6</v>
      </c>
      <c r="I405" s="8" t="s">
        <v>22</v>
      </c>
      <c r="J405" s="8" t="s">
        <v>17</v>
      </c>
      <c r="K405" s="8" t="s">
        <v>56</v>
      </c>
      <c r="L405" s="8" t="s">
        <v>57</v>
      </c>
    </row>
    <row r="406" spans="1:12">
      <c r="A406" s="5" t="s">
        <v>54</v>
      </c>
      <c r="C406" s="12" t="s">
        <v>429</v>
      </c>
      <c r="D406" s="5" t="s">
        <v>286</v>
      </c>
      <c r="F406" s="6">
        <v>46059</v>
      </c>
      <c r="G406" s="6">
        <v>46069</v>
      </c>
      <c r="H406" s="10">
        <f t="shared" ca="1" si="15"/>
        <v>6</v>
      </c>
      <c r="I406" s="8" t="s">
        <v>22</v>
      </c>
      <c r="J406" s="8" t="s">
        <v>17</v>
      </c>
      <c r="K406" s="8" t="s">
        <v>56</v>
      </c>
      <c r="L406" s="8" t="s">
        <v>57</v>
      </c>
    </row>
    <row r="407" spans="1:12">
      <c r="A407" s="5" t="s">
        <v>54</v>
      </c>
      <c r="C407" s="12" t="s">
        <v>429</v>
      </c>
      <c r="D407" s="5" t="s">
        <v>287</v>
      </c>
      <c r="F407" s="6">
        <v>46059</v>
      </c>
      <c r="G407" s="6">
        <v>46069</v>
      </c>
      <c r="H407" s="10">
        <f t="shared" ca="1" si="15"/>
        <v>6</v>
      </c>
      <c r="I407" s="8" t="s">
        <v>22</v>
      </c>
      <c r="J407" s="8" t="s">
        <v>17</v>
      </c>
      <c r="K407" s="8" t="s">
        <v>56</v>
      </c>
      <c r="L407" s="8" t="s">
        <v>57</v>
      </c>
    </row>
    <row r="408" spans="1:12">
      <c r="A408" s="5" t="s">
        <v>54</v>
      </c>
      <c r="C408" s="12" t="s">
        <v>429</v>
      </c>
      <c r="D408" s="5" t="s">
        <v>45</v>
      </c>
      <c r="F408" s="6">
        <v>46059</v>
      </c>
      <c r="G408" s="6">
        <v>46069</v>
      </c>
      <c r="H408" s="10">
        <f t="shared" ca="1" si="15"/>
        <v>6</v>
      </c>
      <c r="I408" s="8" t="s">
        <v>22</v>
      </c>
      <c r="J408" s="8" t="s">
        <v>17</v>
      </c>
      <c r="K408" s="8" t="s">
        <v>56</v>
      </c>
      <c r="L408" s="8" t="s">
        <v>57</v>
      </c>
    </row>
    <row r="409" spans="1:12">
      <c r="A409" s="5" t="s">
        <v>54</v>
      </c>
      <c r="C409" s="12" t="s">
        <v>429</v>
      </c>
      <c r="D409" s="5" t="s">
        <v>288</v>
      </c>
      <c r="F409" s="6">
        <v>46059</v>
      </c>
      <c r="G409" s="6">
        <v>46069</v>
      </c>
      <c r="H409" s="10">
        <f t="shared" ca="1" si="15"/>
        <v>6</v>
      </c>
      <c r="I409" s="8" t="s">
        <v>22</v>
      </c>
      <c r="J409" s="8" t="s">
        <v>17</v>
      </c>
      <c r="K409" s="8" t="s">
        <v>56</v>
      </c>
      <c r="L409" s="8" t="s">
        <v>57</v>
      </c>
    </row>
    <row r="410" spans="1:12">
      <c r="A410" s="5" t="s">
        <v>54</v>
      </c>
      <c r="C410" s="12" t="s">
        <v>429</v>
      </c>
      <c r="D410" s="5" t="s">
        <v>48</v>
      </c>
      <c r="F410" s="6">
        <v>46059</v>
      </c>
      <c r="G410" s="6">
        <v>46069</v>
      </c>
      <c r="H410" s="10">
        <f t="shared" ca="1" si="15"/>
        <v>6</v>
      </c>
      <c r="I410" s="8" t="s">
        <v>22</v>
      </c>
      <c r="J410" s="8" t="s">
        <v>17</v>
      </c>
      <c r="K410" s="8" t="s">
        <v>56</v>
      </c>
      <c r="L410" s="8" t="s">
        <v>57</v>
      </c>
    </row>
    <row r="411" spans="1:12">
      <c r="A411" s="5" t="s">
        <v>54</v>
      </c>
      <c r="C411" s="12" t="s">
        <v>429</v>
      </c>
      <c r="D411" s="5" t="s">
        <v>49</v>
      </c>
      <c r="F411" s="6">
        <v>46059</v>
      </c>
      <c r="G411" s="6">
        <v>46069</v>
      </c>
      <c r="H411" s="10">
        <f t="shared" ca="1" si="15"/>
        <v>6</v>
      </c>
      <c r="I411" s="8" t="s">
        <v>22</v>
      </c>
      <c r="J411" s="8" t="s">
        <v>17</v>
      </c>
      <c r="K411" s="8" t="s">
        <v>56</v>
      </c>
      <c r="L411" s="8" t="s">
        <v>57</v>
      </c>
    </row>
    <row r="412" spans="1:12">
      <c r="A412" s="5" t="s">
        <v>54</v>
      </c>
      <c r="C412" s="12" t="s">
        <v>429</v>
      </c>
      <c r="D412" s="5" t="s">
        <v>289</v>
      </c>
      <c r="F412" s="6">
        <v>46059</v>
      </c>
      <c r="G412" s="6">
        <v>46069</v>
      </c>
      <c r="H412" s="10">
        <f t="shared" ca="1" si="15"/>
        <v>6</v>
      </c>
      <c r="I412" s="8" t="s">
        <v>22</v>
      </c>
      <c r="J412" s="8" t="s">
        <v>17</v>
      </c>
      <c r="K412" s="8" t="s">
        <v>56</v>
      </c>
      <c r="L412" s="8" t="s">
        <v>57</v>
      </c>
    </row>
    <row r="413" spans="1:12">
      <c r="A413" s="5" t="s">
        <v>54</v>
      </c>
      <c r="C413" s="12" t="s">
        <v>429</v>
      </c>
      <c r="D413" s="5" t="s">
        <v>290</v>
      </c>
      <c r="F413" s="6">
        <v>46059</v>
      </c>
      <c r="G413" s="6">
        <v>46069</v>
      </c>
      <c r="H413" s="10">
        <f t="shared" ca="1" si="15"/>
        <v>6</v>
      </c>
      <c r="I413" s="8" t="s">
        <v>22</v>
      </c>
      <c r="J413" s="8" t="s">
        <v>79</v>
      </c>
      <c r="K413" s="8" t="s">
        <v>56</v>
      </c>
      <c r="L413" s="8" t="s">
        <v>57</v>
      </c>
    </row>
    <row r="414" spans="1:12">
      <c r="A414" s="5" t="s">
        <v>54</v>
      </c>
      <c r="C414" s="12" t="s">
        <v>429</v>
      </c>
      <c r="D414" s="5" t="s">
        <v>55</v>
      </c>
      <c r="F414" s="6">
        <v>46059</v>
      </c>
      <c r="G414" s="6">
        <v>46069</v>
      </c>
      <c r="H414" s="10">
        <f t="shared" ca="1" si="15"/>
        <v>6</v>
      </c>
      <c r="I414" s="8" t="s">
        <v>22</v>
      </c>
      <c r="J414" s="8" t="s">
        <v>17</v>
      </c>
      <c r="K414" s="8" t="s">
        <v>56</v>
      </c>
      <c r="L414" s="8" t="s">
        <v>57</v>
      </c>
    </row>
    <row r="415" spans="1:12">
      <c r="A415" s="5" t="s">
        <v>54</v>
      </c>
      <c r="C415" s="12" t="s">
        <v>429</v>
      </c>
      <c r="D415" s="5" t="s">
        <v>291</v>
      </c>
      <c r="F415" s="6">
        <v>46059</v>
      </c>
      <c r="G415" s="6">
        <v>46069</v>
      </c>
      <c r="H415" s="10">
        <f t="shared" ca="1" si="15"/>
        <v>6</v>
      </c>
      <c r="I415" s="8" t="s">
        <v>22</v>
      </c>
      <c r="J415" s="8" t="s">
        <v>17</v>
      </c>
      <c r="K415" s="8" t="s">
        <v>56</v>
      </c>
      <c r="L415" s="8" t="s">
        <v>57</v>
      </c>
    </row>
    <row r="416" spans="1:12">
      <c r="A416" s="5" t="s">
        <v>54</v>
      </c>
      <c r="C416" s="12" t="s">
        <v>429</v>
      </c>
      <c r="D416" s="5" t="s">
        <v>292</v>
      </c>
      <c r="F416" s="6">
        <v>46059</v>
      </c>
      <c r="G416" s="6">
        <v>46069</v>
      </c>
      <c r="H416" s="10">
        <f t="shared" ca="1" si="15"/>
        <v>6</v>
      </c>
      <c r="I416" s="8" t="s">
        <v>22</v>
      </c>
      <c r="J416" s="8" t="s">
        <v>17</v>
      </c>
      <c r="K416" s="8" t="s">
        <v>56</v>
      </c>
      <c r="L416" s="8" t="s">
        <v>57</v>
      </c>
    </row>
    <row r="417" spans="1:12">
      <c r="A417" s="5" t="s">
        <v>54</v>
      </c>
      <c r="C417" s="12" t="s">
        <v>429</v>
      </c>
      <c r="D417" s="5" t="s">
        <v>293</v>
      </c>
      <c r="F417" s="6">
        <v>46059</v>
      </c>
      <c r="G417" s="6">
        <v>46069</v>
      </c>
      <c r="H417" s="10">
        <f t="shared" ca="1" si="15"/>
        <v>6</v>
      </c>
      <c r="I417" s="8" t="s">
        <v>22</v>
      </c>
      <c r="J417" s="8" t="s">
        <v>17</v>
      </c>
      <c r="K417" s="8" t="s">
        <v>56</v>
      </c>
      <c r="L417" s="8" t="s">
        <v>57</v>
      </c>
    </row>
    <row r="418" spans="1:12">
      <c r="A418" s="5" t="s">
        <v>54</v>
      </c>
      <c r="C418" s="12" t="s">
        <v>429</v>
      </c>
      <c r="D418" s="5" t="s">
        <v>294</v>
      </c>
      <c r="F418" s="6">
        <v>46059</v>
      </c>
      <c r="G418" s="6">
        <v>46069</v>
      </c>
      <c r="H418" s="10">
        <f t="shared" ca="1" si="15"/>
        <v>6</v>
      </c>
      <c r="I418" s="8" t="s">
        <v>22</v>
      </c>
      <c r="J418" s="8" t="s">
        <v>17</v>
      </c>
      <c r="K418" s="8" t="s">
        <v>56</v>
      </c>
      <c r="L418" s="8" t="s">
        <v>57</v>
      </c>
    </row>
    <row r="419" spans="1:12">
      <c r="A419" s="5" t="s">
        <v>54</v>
      </c>
      <c r="C419" s="12" t="s">
        <v>429</v>
      </c>
      <c r="D419" s="5" t="s">
        <v>295</v>
      </c>
      <c r="F419" s="6">
        <v>46059</v>
      </c>
      <c r="G419" s="6">
        <v>46069</v>
      </c>
      <c r="H419" s="10">
        <f t="shared" ca="1" si="15"/>
        <v>6</v>
      </c>
      <c r="I419" s="8" t="s">
        <v>22</v>
      </c>
      <c r="J419" s="8" t="s">
        <v>17</v>
      </c>
      <c r="K419" s="8" t="s">
        <v>56</v>
      </c>
      <c r="L419" s="8" t="s">
        <v>57</v>
      </c>
    </row>
    <row r="420" spans="1:12">
      <c r="A420" s="5" t="s">
        <v>54</v>
      </c>
      <c r="C420" s="12" t="s">
        <v>429</v>
      </c>
      <c r="D420" s="5" t="s">
        <v>296</v>
      </c>
      <c r="F420" s="6">
        <v>46059</v>
      </c>
      <c r="G420" s="6">
        <v>46069</v>
      </c>
      <c r="H420" s="10">
        <f t="shared" ca="1" si="15"/>
        <v>6</v>
      </c>
      <c r="I420" s="8" t="s">
        <v>22</v>
      </c>
      <c r="J420" s="8" t="s">
        <v>17</v>
      </c>
      <c r="K420" s="8" t="s">
        <v>56</v>
      </c>
      <c r="L420" s="8" t="s">
        <v>57</v>
      </c>
    </row>
    <row r="421" spans="1:12">
      <c r="A421" s="5" t="s">
        <v>54</v>
      </c>
      <c r="C421" s="12" t="s">
        <v>429</v>
      </c>
      <c r="D421" s="5" t="s">
        <v>297</v>
      </c>
      <c r="F421" s="6">
        <v>46059</v>
      </c>
      <c r="G421" s="6">
        <v>46069</v>
      </c>
      <c r="H421" s="10">
        <f t="shared" ca="1" si="15"/>
        <v>6</v>
      </c>
      <c r="I421" s="8" t="s">
        <v>22</v>
      </c>
      <c r="J421" s="8" t="s">
        <v>17</v>
      </c>
      <c r="K421" s="8" t="s">
        <v>56</v>
      </c>
      <c r="L421" s="8" t="s">
        <v>57</v>
      </c>
    </row>
    <row r="422" spans="1:12">
      <c r="A422" s="5" t="s">
        <v>54</v>
      </c>
      <c r="C422" s="12" t="s">
        <v>429</v>
      </c>
      <c r="D422" s="5" t="s">
        <v>298</v>
      </c>
      <c r="F422" s="6">
        <v>46059</v>
      </c>
      <c r="G422" s="6">
        <v>46069</v>
      </c>
      <c r="H422" s="10">
        <f t="shared" ca="1" si="15"/>
        <v>6</v>
      </c>
      <c r="I422" s="8" t="s">
        <v>22</v>
      </c>
      <c r="J422" s="8" t="s">
        <v>17</v>
      </c>
      <c r="K422" s="8" t="s">
        <v>56</v>
      </c>
      <c r="L422" s="8" t="s">
        <v>57</v>
      </c>
    </row>
    <row r="423" spans="1:12">
      <c r="A423" s="5" t="s">
        <v>54</v>
      </c>
      <c r="C423" s="12" t="s">
        <v>429</v>
      </c>
      <c r="D423" s="5" t="s">
        <v>299</v>
      </c>
      <c r="F423" s="6">
        <v>46059</v>
      </c>
      <c r="G423" s="6">
        <v>46069</v>
      </c>
      <c r="H423" s="10">
        <f t="shared" ca="1" si="15"/>
        <v>6</v>
      </c>
      <c r="I423" s="8" t="s">
        <v>22</v>
      </c>
      <c r="J423" s="8" t="s">
        <v>17</v>
      </c>
      <c r="K423" s="8" t="s">
        <v>56</v>
      </c>
      <c r="L423" s="8" t="s">
        <v>57</v>
      </c>
    </row>
    <row r="424" spans="1:12">
      <c r="A424" s="5" t="s">
        <v>54</v>
      </c>
      <c r="C424" s="12" t="s">
        <v>430</v>
      </c>
      <c r="D424" s="5" t="s">
        <v>276</v>
      </c>
      <c r="F424" s="6">
        <v>46023</v>
      </c>
      <c r="G424" s="6">
        <v>46050</v>
      </c>
      <c r="H424" s="10" t="str">
        <f t="shared" ca="1" si="15"/>
        <v>Prazo encerrado</v>
      </c>
      <c r="I424" s="8" t="s">
        <v>16</v>
      </c>
      <c r="J424" s="8" t="s">
        <v>17</v>
      </c>
      <c r="K424" s="9" t="s">
        <v>18</v>
      </c>
      <c r="L424" s="9" t="s">
        <v>19</v>
      </c>
    </row>
    <row r="425" spans="1:12">
      <c r="A425" s="5" t="s">
        <v>54</v>
      </c>
      <c r="C425" s="12" t="s">
        <v>430</v>
      </c>
      <c r="D425" s="5" t="s">
        <v>277</v>
      </c>
      <c r="F425" s="6">
        <v>46059</v>
      </c>
      <c r="G425" s="6">
        <v>46069</v>
      </c>
      <c r="H425" s="10">
        <f t="shared" ca="1" si="15"/>
        <v>6</v>
      </c>
      <c r="I425" s="8" t="s">
        <v>22</v>
      </c>
      <c r="J425" s="8" t="s">
        <v>17</v>
      </c>
      <c r="K425" s="9" t="s">
        <v>56</v>
      </c>
      <c r="L425" s="9" t="s">
        <v>57</v>
      </c>
    </row>
    <row r="426" spans="1:12">
      <c r="A426" s="5" t="s">
        <v>54</v>
      </c>
      <c r="C426" s="12" t="s">
        <v>430</v>
      </c>
      <c r="D426" s="5" t="s">
        <v>21</v>
      </c>
      <c r="F426" s="6">
        <v>46059</v>
      </c>
      <c r="G426" s="6">
        <v>46069</v>
      </c>
      <c r="H426" s="10">
        <f t="shared" ca="1" si="15"/>
        <v>6</v>
      </c>
      <c r="I426" s="8" t="s">
        <v>22</v>
      </c>
      <c r="J426" s="8" t="s">
        <v>17</v>
      </c>
      <c r="K426" s="9" t="s">
        <v>56</v>
      </c>
      <c r="L426" s="9" t="s">
        <v>57</v>
      </c>
    </row>
    <row r="427" spans="1:12">
      <c r="A427" s="5" t="s">
        <v>54</v>
      </c>
      <c r="C427" s="12" t="s">
        <v>430</v>
      </c>
      <c r="D427" s="5" t="s">
        <v>23</v>
      </c>
      <c r="F427" s="6">
        <v>46059</v>
      </c>
      <c r="G427" s="6">
        <v>46069</v>
      </c>
      <c r="H427" s="10">
        <f t="shared" ca="1" si="15"/>
        <v>6</v>
      </c>
      <c r="I427" s="8" t="s">
        <v>22</v>
      </c>
      <c r="J427" s="8" t="s">
        <v>17</v>
      </c>
      <c r="K427" s="9" t="s">
        <v>56</v>
      </c>
      <c r="L427" s="9" t="s">
        <v>57</v>
      </c>
    </row>
    <row r="428" spans="1:12">
      <c r="A428" s="5" t="s">
        <v>54</v>
      </c>
      <c r="C428" s="12" t="s">
        <v>430</v>
      </c>
      <c r="D428" s="5" t="s">
        <v>278</v>
      </c>
      <c r="F428" s="6">
        <v>46059</v>
      </c>
      <c r="G428" s="6">
        <v>46069</v>
      </c>
      <c r="H428" s="10">
        <f t="shared" ca="1" si="15"/>
        <v>6</v>
      </c>
      <c r="I428" s="8" t="s">
        <v>22</v>
      </c>
      <c r="J428" s="8" t="s">
        <v>17</v>
      </c>
      <c r="K428" s="9" t="s">
        <v>56</v>
      </c>
      <c r="L428" s="9" t="s">
        <v>57</v>
      </c>
    </row>
    <row r="429" spans="1:12">
      <c r="A429" s="5" t="s">
        <v>54</v>
      </c>
      <c r="C429" s="12" t="s">
        <v>430</v>
      </c>
      <c r="D429" s="5" t="s">
        <v>279</v>
      </c>
      <c r="F429" s="6">
        <v>46059</v>
      </c>
      <c r="G429" s="6">
        <v>46069</v>
      </c>
      <c r="H429" s="10">
        <f t="shared" ca="1" si="15"/>
        <v>6</v>
      </c>
      <c r="I429" s="8" t="s">
        <v>22</v>
      </c>
      <c r="J429" s="8" t="s">
        <v>17</v>
      </c>
      <c r="K429" s="9" t="s">
        <v>56</v>
      </c>
      <c r="L429" s="9" t="s">
        <v>57</v>
      </c>
    </row>
    <row r="430" spans="1:12">
      <c r="A430" s="5" t="s">
        <v>54</v>
      </c>
      <c r="C430" s="12" t="s">
        <v>430</v>
      </c>
      <c r="D430" s="5" t="s">
        <v>26</v>
      </c>
      <c r="F430" s="6">
        <v>46059</v>
      </c>
      <c r="G430" s="6">
        <v>46069</v>
      </c>
      <c r="H430" s="10">
        <f t="shared" ca="1" si="15"/>
        <v>6</v>
      </c>
      <c r="I430" s="8" t="s">
        <v>22</v>
      </c>
      <c r="J430" s="8" t="s">
        <v>17</v>
      </c>
      <c r="K430" s="9" t="s">
        <v>56</v>
      </c>
      <c r="L430" s="9" t="s">
        <v>57</v>
      </c>
    </row>
    <row r="431" spans="1:12">
      <c r="A431" s="5" t="s">
        <v>54</v>
      </c>
      <c r="C431" s="12" t="s">
        <v>430</v>
      </c>
      <c r="D431" s="5" t="s">
        <v>27</v>
      </c>
      <c r="F431" s="6">
        <v>46059</v>
      </c>
      <c r="G431" s="6">
        <v>46069</v>
      </c>
      <c r="H431" s="10">
        <f t="shared" ca="1" si="15"/>
        <v>6</v>
      </c>
      <c r="I431" s="8" t="s">
        <v>22</v>
      </c>
      <c r="J431" s="8" t="s">
        <v>17</v>
      </c>
      <c r="K431" s="9" t="s">
        <v>56</v>
      </c>
      <c r="L431" s="9" t="s">
        <v>57</v>
      </c>
    </row>
    <row r="432" spans="1:12">
      <c r="A432" s="5" t="s">
        <v>54</v>
      </c>
      <c r="C432" s="12" t="s">
        <v>430</v>
      </c>
      <c r="D432" s="5" t="s">
        <v>28</v>
      </c>
      <c r="F432" s="6">
        <v>46059</v>
      </c>
      <c r="G432" s="6">
        <v>46069</v>
      </c>
      <c r="H432" s="10">
        <f t="shared" ca="1" si="15"/>
        <v>6</v>
      </c>
      <c r="I432" s="8" t="s">
        <v>22</v>
      </c>
      <c r="J432" s="8" t="s">
        <v>17</v>
      </c>
      <c r="K432" s="9" t="s">
        <v>56</v>
      </c>
      <c r="L432" s="9" t="s">
        <v>57</v>
      </c>
    </row>
    <row r="433" spans="1:12">
      <c r="A433" s="5" t="s">
        <v>54</v>
      </c>
      <c r="C433" s="12" t="s">
        <v>430</v>
      </c>
      <c r="D433" s="5" t="s">
        <v>280</v>
      </c>
      <c r="F433" s="6">
        <v>46059</v>
      </c>
      <c r="G433" s="6">
        <v>46069</v>
      </c>
      <c r="H433" s="10">
        <f t="shared" ca="1" si="15"/>
        <v>6</v>
      </c>
      <c r="I433" s="8" t="s">
        <v>22</v>
      </c>
      <c r="J433" s="8" t="s">
        <v>17</v>
      </c>
      <c r="K433" s="9" t="s">
        <v>56</v>
      </c>
      <c r="L433" s="9" t="s">
        <v>57</v>
      </c>
    </row>
    <row r="434" spans="1:12">
      <c r="A434" s="5" t="s">
        <v>54</v>
      </c>
      <c r="C434" s="12" t="s">
        <v>430</v>
      </c>
      <c r="D434" s="5" t="s">
        <v>281</v>
      </c>
      <c r="F434" s="6">
        <v>46059</v>
      </c>
      <c r="G434" s="6">
        <v>46069</v>
      </c>
      <c r="H434" s="10">
        <f t="shared" ca="1" si="15"/>
        <v>6</v>
      </c>
      <c r="I434" s="8" t="s">
        <v>22</v>
      </c>
      <c r="J434" s="8" t="s">
        <v>17</v>
      </c>
      <c r="K434" s="9" t="s">
        <v>56</v>
      </c>
      <c r="L434" s="9" t="s">
        <v>57</v>
      </c>
    </row>
    <row r="435" spans="1:12">
      <c r="A435" s="5" t="s">
        <v>54</v>
      </c>
      <c r="C435" s="12" t="s">
        <v>430</v>
      </c>
      <c r="D435" s="5" t="s">
        <v>282</v>
      </c>
      <c r="F435" s="6">
        <v>46059</v>
      </c>
      <c r="G435" s="6">
        <v>46069</v>
      </c>
      <c r="H435" s="10">
        <f t="shared" ca="1" si="15"/>
        <v>6</v>
      </c>
      <c r="I435" s="8" t="s">
        <v>22</v>
      </c>
      <c r="J435" s="8" t="s">
        <v>17</v>
      </c>
      <c r="K435" s="9" t="s">
        <v>56</v>
      </c>
      <c r="L435" s="9" t="s">
        <v>57</v>
      </c>
    </row>
    <row r="436" spans="1:12">
      <c r="A436" s="5" t="s">
        <v>54</v>
      </c>
      <c r="C436" s="12" t="s">
        <v>430</v>
      </c>
      <c r="D436" s="5" t="s">
        <v>35</v>
      </c>
      <c r="F436" s="6">
        <v>46059</v>
      </c>
      <c r="G436" s="6">
        <v>46069</v>
      </c>
      <c r="H436" s="10">
        <f t="shared" ca="1" si="15"/>
        <v>6</v>
      </c>
      <c r="I436" s="8" t="s">
        <v>22</v>
      </c>
      <c r="J436" s="8" t="s">
        <v>17</v>
      </c>
      <c r="K436" s="9" t="s">
        <v>56</v>
      </c>
      <c r="L436" s="9" t="s">
        <v>57</v>
      </c>
    </row>
    <row r="437" spans="1:12">
      <c r="A437" s="5" t="s">
        <v>54</v>
      </c>
      <c r="C437" s="12" t="s">
        <v>430</v>
      </c>
      <c r="D437" s="5" t="s">
        <v>40</v>
      </c>
      <c r="F437" s="6">
        <v>46059</v>
      </c>
      <c r="G437" s="6">
        <v>46069</v>
      </c>
      <c r="H437" s="10">
        <f t="shared" ca="1" si="15"/>
        <v>6</v>
      </c>
      <c r="I437" s="8" t="s">
        <v>22</v>
      </c>
      <c r="J437" s="8" t="s">
        <v>17</v>
      </c>
      <c r="K437" s="9" t="s">
        <v>56</v>
      </c>
      <c r="L437" s="9" t="s">
        <v>57</v>
      </c>
    </row>
    <row r="438" spans="1:12">
      <c r="A438" s="5" t="s">
        <v>54</v>
      </c>
      <c r="C438" s="12" t="s">
        <v>430</v>
      </c>
      <c r="D438" s="5" t="s">
        <v>41</v>
      </c>
      <c r="F438" s="6">
        <v>46059</v>
      </c>
      <c r="G438" s="6">
        <v>46069</v>
      </c>
      <c r="H438" s="10">
        <f t="shared" ca="1" si="15"/>
        <v>6</v>
      </c>
      <c r="I438" s="8" t="s">
        <v>22</v>
      </c>
      <c r="J438" s="8" t="s">
        <v>17</v>
      </c>
      <c r="K438" s="9" t="s">
        <v>56</v>
      </c>
      <c r="L438" s="9" t="s">
        <v>57</v>
      </c>
    </row>
    <row r="439" spans="1:12">
      <c r="A439" s="5" t="s">
        <v>54</v>
      </c>
      <c r="C439" s="12" t="s">
        <v>430</v>
      </c>
      <c r="D439" s="5" t="s">
        <v>283</v>
      </c>
      <c r="F439" s="6">
        <v>46059</v>
      </c>
      <c r="G439" s="6">
        <v>46069</v>
      </c>
      <c r="H439" s="10">
        <f t="shared" ca="1" si="15"/>
        <v>6</v>
      </c>
      <c r="I439" s="8" t="s">
        <v>22</v>
      </c>
      <c r="J439" s="8" t="s">
        <v>17</v>
      </c>
      <c r="K439" s="9" t="s">
        <v>56</v>
      </c>
      <c r="L439" s="9" t="s">
        <v>57</v>
      </c>
    </row>
    <row r="440" spans="1:12">
      <c r="A440" s="5" t="s">
        <v>54</v>
      </c>
      <c r="C440" s="12" t="s">
        <v>430</v>
      </c>
      <c r="D440" s="5" t="s">
        <v>284</v>
      </c>
      <c r="F440" s="6">
        <v>46059</v>
      </c>
      <c r="G440" s="6">
        <v>46069</v>
      </c>
      <c r="H440" s="10">
        <f t="shared" ca="1" si="15"/>
        <v>6</v>
      </c>
      <c r="I440" s="8" t="s">
        <v>22</v>
      </c>
      <c r="J440" s="8" t="s">
        <v>17</v>
      </c>
      <c r="K440" s="9" t="s">
        <v>56</v>
      </c>
      <c r="L440" s="9" t="s">
        <v>57</v>
      </c>
    </row>
    <row r="441" spans="1:12">
      <c r="A441" s="5" t="s">
        <v>54</v>
      </c>
      <c r="C441" s="12" t="s">
        <v>430</v>
      </c>
      <c r="D441" s="5" t="s">
        <v>285</v>
      </c>
      <c r="F441" s="6">
        <v>46059</v>
      </c>
      <c r="G441" s="6">
        <v>46069</v>
      </c>
      <c r="H441" s="10">
        <f t="shared" ca="1" si="15"/>
        <v>6</v>
      </c>
      <c r="I441" s="8" t="s">
        <v>22</v>
      </c>
      <c r="J441" s="8" t="s">
        <v>17</v>
      </c>
      <c r="K441" s="9" t="s">
        <v>56</v>
      </c>
      <c r="L441" s="9" t="s">
        <v>57</v>
      </c>
    </row>
    <row r="442" spans="1:12">
      <c r="A442" s="5" t="s">
        <v>54</v>
      </c>
      <c r="C442" s="12" t="s">
        <v>430</v>
      </c>
      <c r="D442" s="5" t="s">
        <v>286</v>
      </c>
      <c r="F442" s="6">
        <v>46059</v>
      </c>
      <c r="G442" s="6">
        <v>46069</v>
      </c>
      <c r="H442" s="10">
        <f t="shared" ca="1" si="15"/>
        <v>6</v>
      </c>
      <c r="I442" s="8" t="s">
        <v>22</v>
      </c>
      <c r="J442" s="8" t="s">
        <v>17</v>
      </c>
      <c r="K442" s="9" t="s">
        <v>56</v>
      </c>
      <c r="L442" s="9" t="s">
        <v>57</v>
      </c>
    </row>
    <row r="443" spans="1:12">
      <c r="A443" s="5" t="s">
        <v>54</v>
      </c>
      <c r="C443" s="12" t="s">
        <v>430</v>
      </c>
      <c r="D443" s="5" t="s">
        <v>287</v>
      </c>
      <c r="F443" s="6">
        <v>46059</v>
      </c>
      <c r="G443" s="6">
        <v>46069</v>
      </c>
      <c r="H443" s="10">
        <f t="shared" ca="1" si="15"/>
        <v>6</v>
      </c>
      <c r="I443" s="8" t="s">
        <v>22</v>
      </c>
      <c r="J443" s="8" t="s">
        <v>17</v>
      </c>
      <c r="K443" s="9" t="s">
        <v>56</v>
      </c>
      <c r="L443" s="9" t="s">
        <v>57</v>
      </c>
    </row>
    <row r="444" spans="1:12">
      <c r="A444" s="5" t="s">
        <v>54</v>
      </c>
      <c r="C444" s="12" t="s">
        <v>430</v>
      </c>
      <c r="D444" s="5" t="s">
        <v>45</v>
      </c>
      <c r="F444" s="6">
        <v>46059</v>
      </c>
      <c r="G444" s="6">
        <v>46069</v>
      </c>
      <c r="H444" s="10">
        <f t="shared" ca="1" si="15"/>
        <v>6</v>
      </c>
      <c r="I444" s="8" t="s">
        <v>22</v>
      </c>
      <c r="J444" s="8" t="s">
        <v>17</v>
      </c>
      <c r="K444" s="9" t="s">
        <v>56</v>
      </c>
      <c r="L444" s="9" t="s">
        <v>57</v>
      </c>
    </row>
    <row r="445" spans="1:12">
      <c r="A445" s="5" t="s">
        <v>54</v>
      </c>
      <c r="C445" s="12" t="s">
        <v>430</v>
      </c>
      <c r="D445" s="5" t="s">
        <v>288</v>
      </c>
      <c r="F445" s="6">
        <v>46059</v>
      </c>
      <c r="G445" s="6">
        <v>46069</v>
      </c>
      <c r="H445" s="10">
        <f t="shared" ca="1" si="15"/>
        <v>6</v>
      </c>
      <c r="I445" s="8" t="s">
        <v>22</v>
      </c>
      <c r="J445" s="8" t="s">
        <v>17</v>
      </c>
      <c r="K445" s="9" t="s">
        <v>56</v>
      </c>
      <c r="L445" s="9" t="s">
        <v>57</v>
      </c>
    </row>
    <row r="446" spans="1:12">
      <c r="A446" s="5" t="s">
        <v>54</v>
      </c>
      <c r="C446" s="12" t="s">
        <v>430</v>
      </c>
      <c r="D446" s="5" t="s">
        <v>48</v>
      </c>
      <c r="F446" s="6">
        <v>46059</v>
      </c>
      <c r="G446" s="6">
        <v>46069</v>
      </c>
      <c r="H446" s="10">
        <f t="shared" ca="1" si="15"/>
        <v>6</v>
      </c>
      <c r="I446" s="8" t="s">
        <v>22</v>
      </c>
      <c r="J446" s="8" t="s">
        <v>17</v>
      </c>
      <c r="K446" s="9" t="s">
        <v>56</v>
      </c>
      <c r="L446" s="9" t="s">
        <v>57</v>
      </c>
    </row>
    <row r="447" spans="1:12">
      <c r="A447" s="5" t="s">
        <v>54</v>
      </c>
      <c r="C447" s="12" t="s">
        <v>430</v>
      </c>
      <c r="D447" s="5" t="s">
        <v>49</v>
      </c>
      <c r="F447" s="6">
        <v>46059</v>
      </c>
      <c r="G447" s="6">
        <v>46069</v>
      </c>
      <c r="H447" s="10">
        <f t="shared" ca="1" si="15"/>
        <v>6</v>
      </c>
      <c r="I447" s="8" t="s">
        <v>22</v>
      </c>
      <c r="J447" s="8" t="s">
        <v>17</v>
      </c>
      <c r="K447" s="9" t="s">
        <v>56</v>
      </c>
      <c r="L447" s="9" t="s">
        <v>57</v>
      </c>
    </row>
    <row r="448" spans="1:12">
      <c r="A448" s="5" t="s">
        <v>54</v>
      </c>
      <c r="C448" s="12" t="s">
        <v>430</v>
      </c>
      <c r="D448" s="5" t="s">
        <v>289</v>
      </c>
      <c r="F448" s="6">
        <v>46059</v>
      </c>
      <c r="G448" s="6">
        <v>46069</v>
      </c>
      <c r="H448" s="10">
        <f t="shared" ca="1" si="15"/>
        <v>6</v>
      </c>
      <c r="I448" s="8" t="s">
        <v>22</v>
      </c>
      <c r="J448" s="8" t="s">
        <v>17</v>
      </c>
      <c r="K448" s="9" t="s">
        <v>56</v>
      </c>
      <c r="L448" s="9" t="s">
        <v>57</v>
      </c>
    </row>
    <row r="449" spans="1:12">
      <c r="A449" s="5" t="s">
        <v>54</v>
      </c>
      <c r="C449" s="12" t="s">
        <v>430</v>
      </c>
      <c r="D449" s="5" t="s">
        <v>290</v>
      </c>
      <c r="F449" s="6">
        <v>46059</v>
      </c>
      <c r="G449" s="6">
        <v>46069</v>
      </c>
      <c r="H449" s="10">
        <f t="shared" ca="1" si="15"/>
        <v>6</v>
      </c>
      <c r="I449" s="8" t="s">
        <v>22</v>
      </c>
      <c r="J449" s="9" t="s">
        <v>79</v>
      </c>
      <c r="K449" s="9" t="s">
        <v>56</v>
      </c>
      <c r="L449" s="9" t="s">
        <v>57</v>
      </c>
    </row>
    <row r="450" spans="1:12">
      <c r="A450" s="5" t="s">
        <v>54</v>
      </c>
      <c r="C450" s="12" t="s">
        <v>430</v>
      </c>
      <c r="D450" s="5" t="s">
        <v>55</v>
      </c>
      <c r="F450" s="6">
        <v>46059</v>
      </c>
      <c r="G450" s="6">
        <v>46069</v>
      </c>
      <c r="H450" s="10">
        <f t="shared" ca="1" si="15"/>
        <v>6</v>
      </c>
      <c r="I450" s="8" t="s">
        <v>22</v>
      </c>
      <c r="J450" s="8" t="s">
        <v>17</v>
      </c>
      <c r="K450" s="9" t="s">
        <v>56</v>
      </c>
      <c r="L450" s="9" t="s">
        <v>57</v>
      </c>
    </row>
    <row r="451" spans="1:12">
      <c r="A451" s="5" t="s">
        <v>54</v>
      </c>
      <c r="C451" s="12" t="s">
        <v>430</v>
      </c>
      <c r="D451" s="5" t="s">
        <v>291</v>
      </c>
      <c r="F451" s="6">
        <v>46059</v>
      </c>
      <c r="G451" s="6">
        <v>46069</v>
      </c>
      <c r="H451" s="10">
        <f t="shared" ca="1" si="15"/>
        <v>6</v>
      </c>
      <c r="I451" s="8" t="s">
        <v>22</v>
      </c>
      <c r="J451" s="8" t="s">
        <v>17</v>
      </c>
      <c r="K451" s="9" t="s">
        <v>56</v>
      </c>
      <c r="L451" s="9" t="s">
        <v>57</v>
      </c>
    </row>
    <row r="452" spans="1:12">
      <c r="A452" s="5" t="s">
        <v>54</v>
      </c>
      <c r="C452" s="12" t="s">
        <v>430</v>
      </c>
      <c r="D452" s="5" t="s">
        <v>292</v>
      </c>
      <c r="F452" s="6">
        <v>46059</v>
      </c>
      <c r="G452" s="6">
        <v>46069</v>
      </c>
      <c r="H452" s="10">
        <f t="shared" ref="H452:H467" ca="1" si="16">IF(INT(G452-TODAY())&lt;=0,"Prazo encerrado",INT(G452-TODAY()))</f>
        <v>6</v>
      </c>
      <c r="I452" s="8" t="s">
        <v>22</v>
      </c>
      <c r="J452" s="8" t="s">
        <v>17</v>
      </c>
      <c r="K452" s="9" t="s">
        <v>56</v>
      </c>
      <c r="L452" s="9" t="s">
        <v>57</v>
      </c>
    </row>
    <row r="453" spans="1:12">
      <c r="A453" s="5" t="s">
        <v>54</v>
      </c>
      <c r="C453" s="12" t="s">
        <v>430</v>
      </c>
      <c r="D453" s="5" t="s">
        <v>293</v>
      </c>
      <c r="F453" s="6">
        <v>46059</v>
      </c>
      <c r="G453" s="6">
        <v>46069</v>
      </c>
      <c r="H453" s="10">
        <f t="shared" ca="1" si="16"/>
        <v>6</v>
      </c>
      <c r="I453" s="8" t="s">
        <v>22</v>
      </c>
      <c r="J453" s="8" t="s">
        <v>17</v>
      </c>
      <c r="K453" s="9" t="s">
        <v>56</v>
      </c>
      <c r="L453" s="9" t="s">
        <v>57</v>
      </c>
    </row>
    <row r="454" spans="1:12">
      <c r="A454" s="5" t="s">
        <v>54</v>
      </c>
      <c r="C454" s="12" t="s">
        <v>430</v>
      </c>
      <c r="D454" s="5" t="s">
        <v>294</v>
      </c>
      <c r="F454" s="6">
        <v>46059</v>
      </c>
      <c r="G454" s="6">
        <v>46069</v>
      </c>
      <c r="H454" s="10">
        <f t="shared" ca="1" si="16"/>
        <v>6</v>
      </c>
      <c r="I454" s="8" t="s">
        <v>22</v>
      </c>
      <c r="J454" s="8" t="s">
        <v>17</v>
      </c>
      <c r="K454" s="9" t="s">
        <v>56</v>
      </c>
      <c r="L454" s="9" t="s">
        <v>57</v>
      </c>
    </row>
    <row r="455" spans="1:12">
      <c r="A455" s="5" t="s">
        <v>54</v>
      </c>
      <c r="C455" s="12" t="s">
        <v>430</v>
      </c>
      <c r="D455" s="5" t="s">
        <v>295</v>
      </c>
      <c r="F455" s="6">
        <v>46059</v>
      </c>
      <c r="G455" s="6">
        <v>46069</v>
      </c>
      <c r="H455" s="10">
        <f t="shared" ca="1" si="16"/>
        <v>6</v>
      </c>
      <c r="I455" s="8" t="s">
        <v>22</v>
      </c>
      <c r="J455" s="8" t="s">
        <v>17</v>
      </c>
      <c r="K455" s="9" t="s">
        <v>56</v>
      </c>
      <c r="L455" s="9" t="s">
        <v>57</v>
      </c>
    </row>
    <row r="456" spans="1:12">
      <c r="A456" s="5" t="s">
        <v>54</v>
      </c>
      <c r="C456" s="12" t="s">
        <v>430</v>
      </c>
      <c r="D456" s="5" t="s">
        <v>296</v>
      </c>
      <c r="F456" s="6">
        <v>46059</v>
      </c>
      <c r="G456" s="6">
        <v>46069</v>
      </c>
      <c r="H456" s="10">
        <f t="shared" ca="1" si="16"/>
        <v>6</v>
      </c>
      <c r="I456" s="8" t="s">
        <v>22</v>
      </c>
      <c r="J456" s="8" t="s">
        <v>17</v>
      </c>
      <c r="K456" s="9" t="s">
        <v>56</v>
      </c>
      <c r="L456" s="9" t="s">
        <v>57</v>
      </c>
    </row>
    <row r="457" spans="1:12">
      <c r="A457" s="5" t="s">
        <v>54</v>
      </c>
      <c r="C457" s="12" t="s">
        <v>430</v>
      </c>
      <c r="D457" s="5" t="s">
        <v>297</v>
      </c>
      <c r="F457" s="6">
        <v>46059</v>
      </c>
      <c r="G457" s="6">
        <v>46069</v>
      </c>
      <c r="H457" s="10">
        <f t="shared" ca="1" si="16"/>
        <v>6</v>
      </c>
      <c r="I457" s="8" t="s">
        <v>22</v>
      </c>
      <c r="J457" s="8" t="s">
        <v>17</v>
      </c>
      <c r="K457" s="9" t="s">
        <v>56</v>
      </c>
      <c r="L457" s="9" t="s">
        <v>57</v>
      </c>
    </row>
    <row r="458" spans="1:12">
      <c r="A458" s="5" t="s">
        <v>54</v>
      </c>
      <c r="C458" s="12" t="s">
        <v>430</v>
      </c>
      <c r="D458" s="5" t="s">
        <v>298</v>
      </c>
      <c r="F458" s="6">
        <v>46059</v>
      </c>
      <c r="G458" s="6">
        <v>46069</v>
      </c>
      <c r="H458" s="10">
        <f t="shared" ca="1" si="16"/>
        <v>6</v>
      </c>
      <c r="I458" s="8" t="s">
        <v>22</v>
      </c>
      <c r="J458" s="8" t="s">
        <v>17</v>
      </c>
      <c r="K458" s="9" t="s">
        <v>56</v>
      </c>
      <c r="L458" s="9" t="s">
        <v>57</v>
      </c>
    </row>
    <row r="459" spans="1:12">
      <c r="A459" s="5" t="s">
        <v>54</v>
      </c>
      <c r="C459" s="12" t="s">
        <v>430</v>
      </c>
      <c r="D459" s="5" t="s">
        <v>299</v>
      </c>
      <c r="F459" s="6">
        <v>46059</v>
      </c>
      <c r="G459" s="6">
        <v>46069</v>
      </c>
      <c r="H459" s="10">
        <f t="shared" ca="1" si="16"/>
        <v>6</v>
      </c>
      <c r="I459" s="8" t="s">
        <v>22</v>
      </c>
      <c r="J459" s="8" t="s">
        <v>17</v>
      </c>
      <c r="K459" s="9" t="s">
        <v>56</v>
      </c>
      <c r="L459" s="9" t="s">
        <v>57</v>
      </c>
    </row>
    <row r="460" spans="1:12">
      <c r="A460" s="5" t="s">
        <v>431</v>
      </c>
      <c r="C460" s="12" t="s">
        <v>432</v>
      </c>
      <c r="D460" s="5" t="s">
        <v>433</v>
      </c>
      <c r="F460" s="6">
        <v>46058</v>
      </c>
      <c r="G460" s="6">
        <v>46064</v>
      </c>
      <c r="H460" s="10">
        <f t="shared" ca="1" si="16"/>
        <v>1</v>
      </c>
      <c r="I460" s="8" t="s">
        <v>16</v>
      </c>
      <c r="J460" s="8" t="s">
        <v>17</v>
      </c>
      <c r="K460" s="9" t="s">
        <v>56</v>
      </c>
      <c r="L460" s="8" t="s">
        <v>57</v>
      </c>
    </row>
    <row r="461" spans="1:12">
      <c r="A461" s="5" t="s">
        <v>431</v>
      </c>
      <c r="C461" s="12" t="s">
        <v>432</v>
      </c>
      <c r="D461" s="5" t="s">
        <v>433</v>
      </c>
      <c r="F461" s="6">
        <v>46058</v>
      </c>
      <c r="G461" s="6">
        <v>46064</v>
      </c>
      <c r="H461" s="10">
        <f t="shared" ca="1" si="16"/>
        <v>1</v>
      </c>
      <c r="I461" s="8" t="s">
        <v>16</v>
      </c>
      <c r="J461" s="8" t="s">
        <v>17</v>
      </c>
      <c r="K461" s="9" t="s">
        <v>56</v>
      </c>
      <c r="L461" s="8" t="s">
        <v>57</v>
      </c>
    </row>
    <row r="462" spans="1:12">
      <c r="A462" s="5" t="s">
        <v>431</v>
      </c>
      <c r="C462" s="12" t="s">
        <v>434</v>
      </c>
      <c r="D462" s="5" t="s">
        <v>433</v>
      </c>
      <c r="F462" s="6">
        <v>46058</v>
      </c>
      <c r="G462" s="6">
        <v>46080</v>
      </c>
      <c r="H462" s="10">
        <f t="shared" ca="1" si="16"/>
        <v>17</v>
      </c>
      <c r="I462" s="8" t="s">
        <v>22</v>
      </c>
      <c r="J462" s="8" t="s">
        <v>17</v>
      </c>
      <c r="K462" s="9" t="s">
        <v>56</v>
      </c>
      <c r="L462" s="8" t="s">
        <v>57</v>
      </c>
    </row>
    <row r="463" spans="1:12">
      <c r="A463" s="5" t="s">
        <v>431</v>
      </c>
      <c r="C463" s="12" t="s">
        <v>434</v>
      </c>
      <c r="D463" s="5" t="s">
        <v>433</v>
      </c>
      <c r="F463" s="6">
        <v>46058</v>
      </c>
      <c r="G463" s="6">
        <v>46080</v>
      </c>
      <c r="H463" s="10">
        <f t="shared" ca="1" si="16"/>
        <v>17</v>
      </c>
      <c r="I463" s="8" t="s">
        <v>22</v>
      </c>
      <c r="J463" s="8" t="s">
        <v>17</v>
      </c>
      <c r="K463" s="9" t="s">
        <v>56</v>
      </c>
      <c r="L463" s="8" t="s">
        <v>57</v>
      </c>
    </row>
    <row r="464" spans="1:12">
      <c r="A464" s="5" t="s">
        <v>431</v>
      </c>
      <c r="C464" s="12" t="s">
        <v>435</v>
      </c>
      <c r="D464" s="5" t="s">
        <v>436</v>
      </c>
      <c r="F464" s="6">
        <v>46058</v>
      </c>
      <c r="G464" s="6">
        <v>46080</v>
      </c>
      <c r="H464" s="10">
        <f t="shared" ca="1" si="16"/>
        <v>17</v>
      </c>
      <c r="I464" s="8" t="s">
        <v>22</v>
      </c>
      <c r="J464" s="8" t="s">
        <v>17</v>
      </c>
      <c r="K464" s="9" t="s">
        <v>56</v>
      </c>
      <c r="L464" s="8" t="s">
        <v>57</v>
      </c>
    </row>
    <row r="465" spans="1:12">
      <c r="A465" s="5" t="s">
        <v>431</v>
      </c>
      <c r="C465" s="12" t="s">
        <v>435</v>
      </c>
      <c r="D465" s="5" t="s">
        <v>436</v>
      </c>
      <c r="F465" s="6">
        <v>46058</v>
      </c>
      <c r="G465" s="6">
        <v>46080</v>
      </c>
      <c r="H465" s="10">
        <f t="shared" ca="1" si="16"/>
        <v>17</v>
      </c>
      <c r="I465" s="8" t="s">
        <v>22</v>
      </c>
      <c r="J465" s="8" t="s">
        <v>17</v>
      </c>
      <c r="K465" s="9" t="s">
        <v>56</v>
      </c>
      <c r="L465" s="8" t="s">
        <v>57</v>
      </c>
    </row>
    <row r="466" spans="1:12">
      <c r="A466" s="5" t="s">
        <v>431</v>
      </c>
      <c r="C466" s="12" t="s">
        <v>435</v>
      </c>
      <c r="D466" s="5" t="s">
        <v>433</v>
      </c>
      <c r="F466" s="6">
        <v>46058</v>
      </c>
      <c r="G466" s="6">
        <v>46080</v>
      </c>
      <c r="H466" s="10">
        <f t="shared" ca="1" si="16"/>
        <v>17</v>
      </c>
      <c r="I466" s="8" t="s">
        <v>22</v>
      </c>
      <c r="J466" s="8" t="s">
        <v>17</v>
      </c>
      <c r="K466" s="9" t="s">
        <v>56</v>
      </c>
      <c r="L466" s="8" t="s">
        <v>57</v>
      </c>
    </row>
    <row r="467" spans="1:12">
      <c r="A467" s="5" t="s">
        <v>431</v>
      </c>
      <c r="C467" s="12" t="s">
        <v>435</v>
      </c>
      <c r="D467" s="5" t="s">
        <v>433</v>
      </c>
      <c r="F467" s="6">
        <v>46058</v>
      </c>
      <c r="G467" s="6">
        <v>46080</v>
      </c>
      <c r="H467" s="10">
        <f t="shared" ca="1" si="16"/>
        <v>17</v>
      </c>
      <c r="I467" s="8" t="s">
        <v>22</v>
      </c>
      <c r="J467" s="8" t="s">
        <v>17</v>
      </c>
      <c r="K467" s="9" t="s">
        <v>56</v>
      </c>
      <c r="L467" s="8" t="s">
        <v>57</v>
      </c>
    </row>
    <row r="468" spans="1:12">
      <c r="A468" s="5" t="s">
        <v>431</v>
      </c>
      <c r="C468" s="12" t="s">
        <v>437</v>
      </c>
      <c r="D468" s="5" t="s">
        <v>436</v>
      </c>
      <c r="F468" s="6">
        <v>46059</v>
      </c>
      <c r="G468" s="6">
        <v>46080</v>
      </c>
      <c r="H468" s="10">
        <f t="shared" ref="H468:H514" ca="1" si="17">IF(INT(G468-TODAY())&lt;=0,"Prazo encerrado",INT(G468-TODAY()))</f>
        <v>17</v>
      </c>
      <c r="I468" s="8" t="s">
        <v>22</v>
      </c>
      <c r="J468" s="8" t="s">
        <v>17</v>
      </c>
      <c r="K468" s="9" t="s">
        <v>56</v>
      </c>
      <c r="L468" s="8" t="s">
        <v>57</v>
      </c>
    </row>
    <row r="469" spans="1:12">
      <c r="A469" s="5" t="s">
        <v>431</v>
      </c>
      <c r="C469" s="12" t="s">
        <v>437</v>
      </c>
      <c r="D469" s="5" t="s">
        <v>436</v>
      </c>
      <c r="F469" s="6">
        <v>46059</v>
      </c>
      <c r="G469" s="6">
        <v>46080</v>
      </c>
      <c r="H469" s="10">
        <f t="shared" ca="1" si="17"/>
        <v>17</v>
      </c>
      <c r="I469" s="8" t="s">
        <v>22</v>
      </c>
      <c r="J469" s="8" t="s">
        <v>17</v>
      </c>
      <c r="K469" s="9" t="s">
        <v>56</v>
      </c>
      <c r="L469" s="8" t="s">
        <v>57</v>
      </c>
    </row>
    <row r="470" spans="1:12">
      <c r="A470" s="5" t="s">
        <v>431</v>
      </c>
      <c r="C470" s="12" t="s">
        <v>437</v>
      </c>
      <c r="D470" s="5" t="s">
        <v>436</v>
      </c>
      <c r="F470" s="6">
        <v>46059</v>
      </c>
      <c r="G470" s="6">
        <v>46080</v>
      </c>
      <c r="H470" s="10">
        <f t="shared" ca="1" si="17"/>
        <v>17</v>
      </c>
      <c r="I470" s="8" t="s">
        <v>22</v>
      </c>
      <c r="J470" s="8" t="s">
        <v>17</v>
      </c>
      <c r="K470" s="9" t="s">
        <v>56</v>
      </c>
      <c r="L470" s="8" t="s">
        <v>57</v>
      </c>
    </row>
    <row r="471" spans="1:12">
      <c r="A471" s="5" t="s">
        <v>431</v>
      </c>
      <c r="C471" s="12" t="s">
        <v>437</v>
      </c>
      <c r="D471" s="5" t="s">
        <v>436</v>
      </c>
      <c r="F471" s="6">
        <v>46059</v>
      </c>
      <c r="G471" s="6">
        <v>46080</v>
      </c>
      <c r="H471" s="10">
        <f t="shared" ca="1" si="17"/>
        <v>17</v>
      </c>
      <c r="I471" s="8" t="s">
        <v>22</v>
      </c>
      <c r="J471" s="8" t="s">
        <v>17</v>
      </c>
      <c r="K471" s="9" t="s">
        <v>56</v>
      </c>
      <c r="L471" s="8" t="s">
        <v>57</v>
      </c>
    </row>
    <row r="472" spans="1:12">
      <c r="A472" s="5" t="s">
        <v>431</v>
      </c>
      <c r="C472" s="12" t="s">
        <v>438</v>
      </c>
      <c r="D472" s="5" t="s">
        <v>433</v>
      </c>
      <c r="F472" s="6">
        <v>46059</v>
      </c>
      <c r="G472" s="6">
        <v>46080</v>
      </c>
      <c r="H472" s="10">
        <f t="shared" ca="1" si="17"/>
        <v>17</v>
      </c>
      <c r="I472" s="8" t="s">
        <v>22</v>
      </c>
      <c r="J472" s="8" t="s">
        <v>17</v>
      </c>
      <c r="K472" s="9" t="s">
        <v>56</v>
      </c>
      <c r="L472" s="8" t="s">
        <v>57</v>
      </c>
    </row>
    <row r="473" spans="1:12">
      <c r="A473" s="5" t="s">
        <v>431</v>
      </c>
      <c r="C473" s="12" t="s">
        <v>438</v>
      </c>
      <c r="D473" s="5" t="s">
        <v>433</v>
      </c>
      <c r="F473" s="6">
        <v>46059</v>
      </c>
      <c r="G473" s="6">
        <v>46080</v>
      </c>
      <c r="H473" s="10">
        <f t="shared" ca="1" si="17"/>
        <v>17</v>
      </c>
      <c r="I473" s="8" t="s">
        <v>22</v>
      </c>
      <c r="J473" s="8" t="s">
        <v>17</v>
      </c>
      <c r="K473" s="9" t="s">
        <v>56</v>
      </c>
      <c r="L473" s="8" t="s">
        <v>57</v>
      </c>
    </row>
    <row r="474" spans="1:12">
      <c r="A474" s="5" t="s">
        <v>431</v>
      </c>
      <c r="C474" s="12" t="s">
        <v>439</v>
      </c>
      <c r="D474" s="5" t="s">
        <v>436</v>
      </c>
      <c r="F474" s="6">
        <v>46055</v>
      </c>
      <c r="G474" s="6">
        <v>46066</v>
      </c>
      <c r="H474" s="10">
        <f t="shared" ca="1" si="17"/>
        <v>3</v>
      </c>
      <c r="I474" s="8" t="s">
        <v>22</v>
      </c>
      <c r="J474" s="8" t="s">
        <v>17</v>
      </c>
      <c r="K474" s="9" t="s">
        <v>56</v>
      </c>
      <c r="L474" s="8" t="s">
        <v>57</v>
      </c>
    </row>
    <row r="475" spans="1:12">
      <c r="A475" s="5" t="s">
        <v>431</v>
      </c>
      <c r="C475" s="12" t="s">
        <v>439</v>
      </c>
      <c r="D475" s="5" t="s">
        <v>436</v>
      </c>
      <c r="F475" s="6">
        <v>46055</v>
      </c>
      <c r="G475" s="6">
        <v>46066</v>
      </c>
      <c r="H475" s="10">
        <f t="shared" ca="1" si="17"/>
        <v>3</v>
      </c>
      <c r="I475" s="8" t="s">
        <v>22</v>
      </c>
      <c r="J475" s="8" t="s">
        <v>17</v>
      </c>
      <c r="K475" s="9" t="s">
        <v>56</v>
      </c>
      <c r="L475" s="8" t="s">
        <v>57</v>
      </c>
    </row>
    <row r="476" spans="1:12">
      <c r="A476" s="5" t="s">
        <v>431</v>
      </c>
      <c r="C476" s="12" t="s">
        <v>439</v>
      </c>
      <c r="D476" s="5" t="s">
        <v>433</v>
      </c>
      <c r="F476" s="6">
        <v>46055</v>
      </c>
      <c r="G476" s="6">
        <v>46066</v>
      </c>
      <c r="H476" s="10">
        <f t="shared" ca="1" si="17"/>
        <v>3</v>
      </c>
      <c r="I476" s="8" t="s">
        <v>22</v>
      </c>
      <c r="J476" s="8" t="s">
        <v>17</v>
      </c>
      <c r="K476" s="9" t="s">
        <v>56</v>
      </c>
      <c r="L476" s="8" t="s">
        <v>57</v>
      </c>
    </row>
    <row r="477" spans="1:12">
      <c r="A477" s="5" t="s">
        <v>431</v>
      </c>
      <c r="C477" s="12" t="s">
        <v>439</v>
      </c>
      <c r="D477" s="5" t="s">
        <v>433</v>
      </c>
      <c r="F477" s="6">
        <v>46055</v>
      </c>
      <c r="G477" s="6">
        <v>46066</v>
      </c>
      <c r="H477" s="10">
        <f t="shared" ca="1" si="17"/>
        <v>3</v>
      </c>
      <c r="I477" s="8" t="s">
        <v>22</v>
      </c>
      <c r="J477" s="8" t="s">
        <v>17</v>
      </c>
      <c r="K477" s="9" t="s">
        <v>56</v>
      </c>
      <c r="L477" s="8" t="s">
        <v>57</v>
      </c>
    </row>
    <row r="478" spans="1:12">
      <c r="A478" s="5" t="s">
        <v>431</v>
      </c>
      <c r="C478" s="12" t="s">
        <v>440</v>
      </c>
      <c r="D478" s="5" t="s">
        <v>441</v>
      </c>
      <c r="F478" s="6">
        <v>46029</v>
      </c>
      <c r="G478" s="6">
        <v>46066</v>
      </c>
      <c r="H478" s="10">
        <f t="shared" ca="1" si="17"/>
        <v>3</v>
      </c>
      <c r="I478" s="8" t="s">
        <v>22</v>
      </c>
      <c r="J478" s="8" t="s">
        <v>17</v>
      </c>
      <c r="K478" s="9" t="s">
        <v>18</v>
      </c>
      <c r="L478" s="8" t="s">
        <v>19</v>
      </c>
    </row>
    <row r="479" spans="1:12">
      <c r="A479" s="5" t="s">
        <v>431</v>
      </c>
      <c r="C479" s="12" t="s">
        <v>440</v>
      </c>
      <c r="D479" s="5" t="s">
        <v>442</v>
      </c>
      <c r="F479" s="6">
        <v>46029</v>
      </c>
      <c r="G479" s="6">
        <v>46066</v>
      </c>
      <c r="H479" s="10">
        <f t="shared" ca="1" si="17"/>
        <v>3</v>
      </c>
      <c r="I479" s="8" t="s">
        <v>22</v>
      </c>
      <c r="J479" s="8" t="s">
        <v>17</v>
      </c>
      <c r="K479" s="9" t="s">
        <v>18</v>
      </c>
      <c r="L479" s="8" t="s">
        <v>19</v>
      </c>
    </row>
    <row r="480" spans="1:12">
      <c r="A480" s="5" t="s">
        <v>431</v>
      </c>
      <c r="C480" s="12" t="s">
        <v>440</v>
      </c>
      <c r="D480" s="5" t="s">
        <v>443</v>
      </c>
      <c r="F480" s="6">
        <v>46029</v>
      </c>
      <c r="G480" s="6">
        <v>46066</v>
      </c>
      <c r="H480" s="10">
        <f t="shared" ca="1" si="17"/>
        <v>3</v>
      </c>
      <c r="I480" s="8" t="s">
        <v>22</v>
      </c>
      <c r="J480" s="8" t="s">
        <v>17</v>
      </c>
      <c r="K480" s="9" t="s">
        <v>18</v>
      </c>
      <c r="L480" s="8" t="s">
        <v>19</v>
      </c>
    </row>
    <row r="481" spans="1:12">
      <c r="A481" s="5" t="s">
        <v>431</v>
      </c>
      <c r="C481" s="12" t="s">
        <v>440</v>
      </c>
      <c r="D481" s="5" t="s">
        <v>444</v>
      </c>
      <c r="F481" s="6">
        <v>46029</v>
      </c>
      <c r="G481" s="6">
        <v>46066</v>
      </c>
      <c r="H481" s="10">
        <f t="shared" ca="1" si="17"/>
        <v>3</v>
      </c>
      <c r="I481" s="8" t="s">
        <v>22</v>
      </c>
      <c r="J481" s="8" t="s">
        <v>17</v>
      </c>
      <c r="K481" s="9" t="s">
        <v>18</v>
      </c>
      <c r="L481" s="8" t="s">
        <v>19</v>
      </c>
    </row>
    <row r="482" spans="1:12">
      <c r="A482" s="5" t="s">
        <v>431</v>
      </c>
      <c r="C482" s="12" t="s">
        <v>440</v>
      </c>
      <c r="D482" s="5" t="s">
        <v>445</v>
      </c>
      <c r="F482" s="6">
        <v>46029</v>
      </c>
      <c r="G482" s="6">
        <v>46066</v>
      </c>
      <c r="H482" s="10">
        <f t="shared" ca="1" si="17"/>
        <v>3</v>
      </c>
      <c r="I482" s="8" t="s">
        <v>22</v>
      </c>
      <c r="J482" s="8" t="s">
        <v>17</v>
      </c>
      <c r="K482" s="9" t="s">
        <v>18</v>
      </c>
      <c r="L482" s="8" t="s">
        <v>19</v>
      </c>
    </row>
    <row r="483" spans="1:12">
      <c r="A483" s="5" t="s">
        <v>431</v>
      </c>
      <c r="C483" s="12" t="s">
        <v>440</v>
      </c>
      <c r="D483" s="5" t="s">
        <v>446</v>
      </c>
      <c r="F483" s="6">
        <v>46029</v>
      </c>
      <c r="G483" s="6">
        <v>46066</v>
      </c>
      <c r="H483" s="10">
        <f t="shared" ca="1" si="17"/>
        <v>3</v>
      </c>
      <c r="I483" s="8" t="s">
        <v>22</v>
      </c>
      <c r="J483" s="8" t="s">
        <v>17</v>
      </c>
      <c r="K483" s="9" t="s">
        <v>18</v>
      </c>
      <c r="L483" s="8" t="s">
        <v>19</v>
      </c>
    </row>
    <row r="484" spans="1:12">
      <c r="A484" s="5" t="s">
        <v>431</v>
      </c>
      <c r="C484" s="12" t="s">
        <v>440</v>
      </c>
      <c r="D484" s="5" t="s">
        <v>447</v>
      </c>
      <c r="F484" s="6">
        <v>46029</v>
      </c>
      <c r="G484" s="6">
        <v>46066</v>
      </c>
      <c r="H484" s="10">
        <f t="shared" ca="1" si="17"/>
        <v>3</v>
      </c>
      <c r="I484" s="8" t="s">
        <v>22</v>
      </c>
      <c r="J484" s="8" t="s">
        <v>17</v>
      </c>
      <c r="K484" s="9" t="s">
        <v>56</v>
      </c>
      <c r="L484" s="8" t="s">
        <v>57</v>
      </c>
    </row>
    <row r="485" spans="1:12">
      <c r="A485" s="5" t="s">
        <v>431</v>
      </c>
      <c r="C485" s="12" t="s">
        <v>440</v>
      </c>
      <c r="D485" s="5" t="s">
        <v>448</v>
      </c>
      <c r="F485" s="6">
        <v>46029</v>
      </c>
      <c r="G485" s="6">
        <v>46066</v>
      </c>
      <c r="H485" s="10">
        <f t="shared" ca="1" si="17"/>
        <v>3</v>
      </c>
      <c r="I485" s="8" t="s">
        <v>22</v>
      </c>
      <c r="J485" s="8" t="s">
        <v>17</v>
      </c>
      <c r="K485" s="9" t="s">
        <v>56</v>
      </c>
      <c r="L485" s="8" t="s">
        <v>57</v>
      </c>
    </row>
    <row r="486" spans="1:12">
      <c r="A486" s="5" t="s">
        <v>431</v>
      </c>
      <c r="C486" s="12" t="s">
        <v>440</v>
      </c>
      <c r="D486" s="5" t="s">
        <v>449</v>
      </c>
      <c r="F486" s="6">
        <v>46029</v>
      </c>
      <c r="G486" s="6">
        <v>46066</v>
      </c>
      <c r="H486" s="10">
        <f t="shared" ca="1" si="17"/>
        <v>3</v>
      </c>
      <c r="I486" s="8" t="s">
        <v>22</v>
      </c>
      <c r="J486" s="8" t="s">
        <v>17</v>
      </c>
      <c r="K486" s="9" t="s">
        <v>56</v>
      </c>
      <c r="L486" s="8" t="s">
        <v>57</v>
      </c>
    </row>
    <row r="487" spans="1:12">
      <c r="A487" s="5" t="s">
        <v>431</v>
      </c>
      <c r="C487" s="12" t="s">
        <v>440</v>
      </c>
      <c r="D487" s="5" t="s">
        <v>450</v>
      </c>
      <c r="F487" s="6">
        <v>46029</v>
      </c>
      <c r="G487" s="6">
        <v>46066</v>
      </c>
      <c r="H487" s="10">
        <f t="shared" ca="1" si="17"/>
        <v>3</v>
      </c>
      <c r="I487" s="8" t="s">
        <v>22</v>
      </c>
      <c r="J487" s="8" t="s">
        <v>17</v>
      </c>
      <c r="K487" s="9" t="s">
        <v>56</v>
      </c>
      <c r="L487" s="8" t="s">
        <v>57</v>
      </c>
    </row>
    <row r="488" spans="1:12">
      <c r="A488" s="5" t="s">
        <v>431</v>
      </c>
      <c r="C488" s="12" t="s">
        <v>440</v>
      </c>
      <c r="D488" s="5" t="s">
        <v>451</v>
      </c>
      <c r="F488" s="6">
        <v>46029</v>
      </c>
      <c r="G488" s="6">
        <v>46066</v>
      </c>
      <c r="H488" s="10">
        <f t="shared" ca="1" si="17"/>
        <v>3</v>
      </c>
      <c r="I488" s="8" t="s">
        <v>22</v>
      </c>
      <c r="J488" s="8" t="s">
        <v>17</v>
      </c>
      <c r="K488" s="9" t="s">
        <v>56</v>
      </c>
      <c r="L488" s="8" t="s">
        <v>57</v>
      </c>
    </row>
    <row r="489" spans="1:12">
      <c r="A489" s="5" t="s">
        <v>431</v>
      </c>
      <c r="C489" s="12" t="s">
        <v>440</v>
      </c>
      <c r="D489" s="5" t="s">
        <v>452</v>
      </c>
      <c r="F489" s="6">
        <v>46029</v>
      </c>
      <c r="G489" s="6">
        <v>46066</v>
      </c>
      <c r="H489" s="10">
        <f t="shared" ca="1" si="17"/>
        <v>3</v>
      </c>
      <c r="I489" s="8" t="s">
        <v>22</v>
      </c>
      <c r="J489" s="8" t="s">
        <v>17</v>
      </c>
      <c r="K489" s="9" t="s">
        <v>56</v>
      </c>
      <c r="L489" s="8" t="s">
        <v>57</v>
      </c>
    </row>
    <row r="490" spans="1:12">
      <c r="A490" s="5" t="s">
        <v>431</v>
      </c>
      <c r="C490" s="12" t="s">
        <v>440</v>
      </c>
      <c r="D490" s="5" t="s">
        <v>453</v>
      </c>
      <c r="F490" s="6">
        <v>46029</v>
      </c>
      <c r="G490" s="6">
        <v>46066</v>
      </c>
      <c r="H490" s="10">
        <f t="shared" ca="1" si="17"/>
        <v>3</v>
      </c>
      <c r="I490" s="8" t="s">
        <v>22</v>
      </c>
      <c r="J490" s="8" t="s">
        <v>17</v>
      </c>
      <c r="K490" s="9" t="s">
        <v>56</v>
      </c>
      <c r="L490" s="8" t="s">
        <v>57</v>
      </c>
    </row>
    <row r="491" spans="1:12">
      <c r="A491" s="5" t="s">
        <v>431</v>
      </c>
      <c r="C491" s="12" t="s">
        <v>440</v>
      </c>
      <c r="D491" s="5" t="s">
        <v>454</v>
      </c>
      <c r="F491" s="6">
        <v>46029</v>
      </c>
      <c r="G491" s="6">
        <v>46066</v>
      </c>
      <c r="H491" s="10">
        <f t="shared" ca="1" si="17"/>
        <v>3</v>
      </c>
      <c r="I491" s="8" t="s">
        <v>22</v>
      </c>
      <c r="J491" s="8" t="s">
        <v>17</v>
      </c>
      <c r="K491" s="9" t="s">
        <v>56</v>
      </c>
      <c r="L491" s="8" t="s">
        <v>57</v>
      </c>
    </row>
    <row r="492" spans="1:12">
      <c r="A492" s="5" t="s">
        <v>431</v>
      </c>
      <c r="C492" s="12" t="s">
        <v>440</v>
      </c>
      <c r="D492" s="5" t="s">
        <v>455</v>
      </c>
      <c r="F492" s="6">
        <v>46029</v>
      </c>
      <c r="G492" s="6">
        <v>46066</v>
      </c>
      <c r="H492" s="10">
        <f t="shared" ca="1" si="17"/>
        <v>3</v>
      </c>
      <c r="I492" s="8" t="s">
        <v>22</v>
      </c>
      <c r="J492" s="8" t="s">
        <v>17</v>
      </c>
      <c r="K492" s="9" t="s">
        <v>56</v>
      </c>
      <c r="L492" s="8" t="s">
        <v>57</v>
      </c>
    </row>
    <row r="493" spans="1:12">
      <c r="A493" s="5" t="s">
        <v>431</v>
      </c>
      <c r="C493" s="12" t="s">
        <v>440</v>
      </c>
      <c r="D493" s="5" t="s">
        <v>456</v>
      </c>
      <c r="F493" s="6">
        <v>46029</v>
      </c>
      <c r="G493" s="6">
        <v>46066</v>
      </c>
      <c r="H493" s="10">
        <f t="shared" ca="1" si="17"/>
        <v>3</v>
      </c>
      <c r="I493" s="8" t="s">
        <v>22</v>
      </c>
      <c r="J493" s="8" t="s">
        <v>17</v>
      </c>
      <c r="K493" s="9" t="s">
        <v>56</v>
      </c>
      <c r="L493" s="8" t="s">
        <v>57</v>
      </c>
    </row>
    <row r="494" spans="1:12">
      <c r="A494" s="5" t="s">
        <v>431</v>
      </c>
      <c r="C494" s="12" t="s">
        <v>457</v>
      </c>
      <c r="D494" s="5" t="s">
        <v>436</v>
      </c>
      <c r="F494" s="6">
        <v>46055</v>
      </c>
      <c r="G494" s="6">
        <v>46066</v>
      </c>
      <c r="H494" s="10">
        <f t="shared" ca="1" si="17"/>
        <v>3</v>
      </c>
      <c r="I494" s="8" t="s">
        <v>22</v>
      </c>
      <c r="J494" s="8" t="s">
        <v>17</v>
      </c>
      <c r="K494" s="9" t="s">
        <v>56</v>
      </c>
      <c r="L494" s="8" t="s">
        <v>57</v>
      </c>
    </row>
    <row r="495" spans="1:12">
      <c r="A495" s="5" t="s">
        <v>431</v>
      </c>
      <c r="C495" s="12" t="s">
        <v>457</v>
      </c>
      <c r="D495" s="5" t="s">
        <v>436</v>
      </c>
      <c r="F495" s="6">
        <v>46055</v>
      </c>
      <c r="G495" s="6">
        <v>46066</v>
      </c>
      <c r="H495" s="10">
        <f t="shared" ca="1" si="17"/>
        <v>3</v>
      </c>
      <c r="I495" s="8" t="s">
        <v>22</v>
      </c>
      <c r="J495" s="8" t="s">
        <v>17</v>
      </c>
      <c r="K495" s="9" t="s">
        <v>56</v>
      </c>
      <c r="L495" s="8" t="s">
        <v>57</v>
      </c>
    </row>
    <row r="496" spans="1:12">
      <c r="A496" s="5" t="s">
        <v>431</v>
      </c>
      <c r="C496" s="12" t="s">
        <v>457</v>
      </c>
      <c r="D496" s="5" t="s">
        <v>433</v>
      </c>
      <c r="F496" s="6">
        <v>46055</v>
      </c>
      <c r="G496" s="6">
        <v>46066</v>
      </c>
      <c r="H496" s="10">
        <f t="shared" ca="1" si="17"/>
        <v>3</v>
      </c>
      <c r="I496" s="8" t="s">
        <v>22</v>
      </c>
      <c r="J496" s="8" t="s">
        <v>17</v>
      </c>
      <c r="K496" s="9" t="s">
        <v>56</v>
      </c>
      <c r="L496" s="8" t="s">
        <v>57</v>
      </c>
    </row>
    <row r="497" spans="1:12">
      <c r="A497" s="5" t="s">
        <v>431</v>
      </c>
      <c r="C497" s="12" t="s">
        <v>457</v>
      </c>
      <c r="D497" s="5" t="s">
        <v>433</v>
      </c>
      <c r="F497" s="6">
        <v>46055</v>
      </c>
      <c r="G497" s="6">
        <v>46066</v>
      </c>
      <c r="H497" s="10">
        <f t="shared" ca="1" si="17"/>
        <v>3</v>
      </c>
      <c r="I497" s="8" t="s">
        <v>22</v>
      </c>
      <c r="J497" s="8" t="s">
        <v>17</v>
      </c>
      <c r="K497" s="9" t="s">
        <v>56</v>
      </c>
      <c r="L497" s="8" t="s">
        <v>57</v>
      </c>
    </row>
    <row r="498" spans="1:12">
      <c r="A498" s="5" t="s">
        <v>431</v>
      </c>
      <c r="C498" s="12" t="s">
        <v>458</v>
      </c>
      <c r="D498" s="5" t="s">
        <v>436</v>
      </c>
      <c r="F498" s="6">
        <v>46055</v>
      </c>
      <c r="G498" s="6">
        <v>46066</v>
      </c>
      <c r="H498" s="10">
        <f t="shared" ca="1" si="17"/>
        <v>3</v>
      </c>
      <c r="I498" s="8" t="s">
        <v>22</v>
      </c>
      <c r="J498" s="8" t="s">
        <v>17</v>
      </c>
      <c r="K498" s="9" t="s">
        <v>56</v>
      </c>
      <c r="L498" s="8" t="s">
        <v>57</v>
      </c>
    </row>
    <row r="499" spans="1:12">
      <c r="A499" s="5" t="s">
        <v>431</v>
      </c>
      <c r="C499" s="12" t="s">
        <v>458</v>
      </c>
      <c r="D499" s="5" t="s">
        <v>436</v>
      </c>
      <c r="F499" s="6">
        <v>46055</v>
      </c>
      <c r="G499" s="6">
        <v>46066</v>
      </c>
      <c r="H499" s="10">
        <f t="shared" ca="1" si="17"/>
        <v>3</v>
      </c>
      <c r="I499" s="8" t="s">
        <v>22</v>
      </c>
      <c r="J499" s="8" t="s">
        <v>17</v>
      </c>
      <c r="K499" s="9" t="s">
        <v>56</v>
      </c>
      <c r="L499" s="8" t="s">
        <v>57</v>
      </c>
    </row>
    <row r="500" spans="1:12">
      <c r="A500" s="5" t="s">
        <v>431</v>
      </c>
      <c r="C500" s="12" t="s">
        <v>458</v>
      </c>
      <c r="D500" s="5" t="s">
        <v>433</v>
      </c>
      <c r="F500" s="6">
        <v>46055</v>
      </c>
      <c r="G500" s="6">
        <v>46066</v>
      </c>
      <c r="H500" s="10">
        <f t="shared" ca="1" si="17"/>
        <v>3</v>
      </c>
      <c r="I500" s="8" t="s">
        <v>22</v>
      </c>
      <c r="J500" s="8" t="s">
        <v>17</v>
      </c>
      <c r="K500" s="9" t="s">
        <v>56</v>
      </c>
      <c r="L500" s="8" t="s">
        <v>57</v>
      </c>
    </row>
    <row r="501" spans="1:12">
      <c r="A501" s="5" t="s">
        <v>431</v>
      </c>
      <c r="C501" s="12" t="s">
        <v>458</v>
      </c>
      <c r="D501" s="5" t="s">
        <v>433</v>
      </c>
      <c r="F501" s="6">
        <v>46055</v>
      </c>
      <c r="G501" s="6">
        <v>46066</v>
      </c>
      <c r="H501" s="10">
        <f t="shared" ca="1" si="17"/>
        <v>3</v>
      </c>
      <c r="I501" s="8" t="s">
        <v>22</v>
      </c>
      <c r="J501" s="8" t="s">
        <v>17</v>
      </c>
      <c r="K501" s="9" t="s">
        <v>56</v>
      </c>
      <c r="L501" s="8" t="s">
        <v>57</v>
      </c>
    </row>
    <row r="502" spans="1:12">
      <c r="A502" s="5" t="s">
        <v>431</v>
      </c>
      <c r="C502" s="12" t="s">
        <v>459</v>
      </c>
      <c r="D502" s="5" t="s">
        <v>436</v>
      </c>
      <c r="F502" s="6">
        <v>46055</v>
      </c>
      <c r="G502" s="6">
        <v>46066</v>
      </c>
      <c r="H502" s="10">
        <f t="shared" ca="1" si="17"/>
        <v>3</v>
      </c>
      <c r="I502" s="8" t="s">
        <v>22</v>
      </c>
      <c r="J502" s="8" t="s">
        <v>17</v>
      </c>
      <c r="K502" s="9" t="s">
        <v>56</v>
      </c>
      <c r="L502" s="8" t="s">
        <v>57</v>
      </c>
    </row>
    <row r="503" spans="1:12">
      <c r="A503" s="5" t="s">
        <v>431</v>
      </c>
      <c r="C503" s="12" t="s">
        <v>459</v>
      </c>
      <c r="D503" s="5" t="s">
        <v>436</v>
      </c>
      <c r="F503" s="6">
        <v>46055</v>
      </c>
      <c r="G503" s="6">
        <v>46066</v>
      </c>
      <c r="H503" s="10">
        <f t="shared" ca="1" si="17"/>
        <v>3</v>
      </c>
      <c r="I503" s="8" t="s">
        <v>22</v>
      </c>
      <c r="J503" s="8" t="s">
        <v>17</v>
      </c>
      <c r="K503" s="9" t="s">
        <v>56</v>
      </c>
      <c r="L503" s="8" t="s">
        <v>57</v>
      </c>
    </row>
    <row r="504" spans="1:12">
      <c r="A504" s="5" t="s">
        <v>431</v>
      </c>
      <c r="C504" s="12" t="s">
        <v>459</v>
      </c>
      <c r="D504" s="5" t="s">
        <v>433</v>
      </c>
      <c r="F504" s="6">
        <v>46055</v>
      </c>
      <c r="G504" s="6">
        <v>46066</v>
      </c>
      <c r="H504" s="10">
        <f t="shared" ca="1" si="17"/>
        <v>3</v>
      </c>
      <c r="I504" s="8" t="s">
        <v>22</v>
      </c>
      <c r="J504" s="8" t="s">
        <v>17</v>
      </c>
      <c r="K504" s="9" t="s">
        <v>56</v>
      </c>
      <c r="L504" s="8" t="s">
        <v>57</v>
      </c>
    </row>
    <row r="505" spans="1:12">
      <c r="A505" s="5" t="s">
        <v>431</v>
      </c>
      <c r="C505" s="12" t="s">
        <v>459</v>
      </c>
      <c r="D505" s="5" t="s">
        <v>433</v>
      </c>
      <c r="F505" s="6">
        <v>46055</v>
      </c>
      <c r="G505" s="6">
        <v>46066</v>
      </c>
      <c r="H505" s="10">
        <f t="shared" ca="1" si="17"/>
        <v>3</v>
      </c>
      <c r="I505" s="8" t="s">
        <v>22</v>
      </c>
      <c r="J505" s="8" t="s">
        <v>17</v>
      </c>
      <c r="K505" s="9" t="s">
        <v>56</v>
      </c>
      <c r="L505" s="8" t="s">
        <v>57</v>
      </c>
    </row>
    <row r="506" spans="1:12">
      <c r="A506" s="5" t="s">
        <v>431</v>
      </c>
      <c r="C506" s="12" t="s">
        <v>460</v>
      </c>
      <c r="D506" s="5" t="s">
        <v>461</v>
      </c>
      <c r="F506" s="6">
        <v>46055</v>
      </c>
      <c r="G506" s="6">
        <v>46066</v>
      </c>
      <c r="H506" s="10">
        <f t="shared" ca="1" si="17"/>
        <v>3</v>
      </c>
      <c r="I506" s="8" t="s">
        <v>22</v>
      </c>
      <c r="J506" s="8" t="s">
        <v>17</v>
      </c>
      <c r="K506" s="9" t="s">
        <v>56</v>
      </c>
      <c r="L506" s="8" t="s">
        <v>57</v>
      </c>
    </row>
    <row r="507" spans="1:12">
      <c r="A507" s="5" t="s">
        <v>431</v>
      </c>
      <c r="C507" s="12" t="s">
        <v>460</v>
      </c>
      <c r="D507" s="5" t="s">
        <v>462</v>
      </c>
      <c r="F507" s="6">
        <v>46055</v>
      </c>
      <c r="G507" s="6">
        <v>46066</v>
      </c>
      <c r="H507" s="10">
        <f t="shared" ca="1" si="17"/>
        <v>3</v>
      </c>
      <c r="I507" s="8" t="s">
        <v>22</v>
      </c>
      <c r="J507" s="8" t="s">
        <v>17</v>
      </c>
      <c r="K507" s="9" t="s">
        <v>56</v>
      </c>
      <c r="L507" s="8" t="s">
        <v>57</v>
      </c>
    </row>
    <row r="508" spans="1:12">
      <c r="A508" s="5" t="s">
        <v>431</v>
      </c>
      <c r="C508" s="12" t="s">
        <v>460</v>
      </c>
      <c r="D508" s="5" t="s">
        <v>463</v>
      </c>
      <c r="F508" s="6">
        <v>46055</v>
      </c>
      <c r="G508" s="6">
        <v>46066</v>
      </c>
      <c r="H508" s="10">
        <f t="shared" ca="1" si="17"/>
        <v>3</v>
      </c>
      <c r="I508" s="8" t="s">
        <v>22</v>
      </c>
      <c r="J508" s="8" t="s">
        <v>17</v>
      </c>
      <c r="K508" s="9" t="s">
        <v>56</v>
      </c>
      <c r="L508" s="8" t="s">
        <v>57</v>
      </c>
    </row>
    <row r="509" spans="1:12">
      <c r="A509" s="5" t="s">
        <v>431</v>
      </c>
      <c r="C509" s="12" t="s">
        <v>460</v>
      </c>
      <c r="D509" s="5" t="s">
        <v>464</v>
      </c>
      <c r="F509" s="6">
        <v>46055</v>
      </c>
      <c r="G509" s="6">
        <v>46066</v>
      </c>
      <c r="H509" s="10">
        <f t="shared" ca="1" si="17"/>
        <v>3</v>
      </c>
      <c r="I509" s="8" t="s">
        <v>22</v>
      </c>
      <c r="J509" s="8" t="s">
        <v>17</v>
      </c>
      <c r="K509" s="9" t="s">
        <v>56</v>
      </c>
      <c r="L509" s="8" t="s">
        <v>57</v>
      </c>
    </row>
    <row r="510" spans="1:12">
      <c r="A510" s="5" t="s">
        <v>431</v>
      </c>
      <c r="C510" s="12" t="s">
        <v>460</v>
      </c>
      <c r="D510" s="5" t="s">
        <v>465</v>
      </c>
      <c r="F510" s="6">
        <v>46055</v>
      </c>
      <c r="G510" s="6">
        <v>46066</v>
      </c>
      <c r="H510" s="10">
        <f t="shared" ca="1" si="17"/>
        <v>3</v>
      </c>
      <c r="I510" s="8" t="s">
        <v>22</v>
      </c>
      <c r="J510" s="8" t="s">
        <v>17</v>
      </c>
      <c r="K510" s="9" t="s">
        <v>56</v>
      </c>
      <c r="L510" s="8" t="s">
        <v>57</v>
      </c>
    </row>
    <row r="511" spans="1:12">
      <c r="A511" s="5" t="s">
        <v>431</v>
      </c>
      <c r="C511" s="12" t="s">
        <v>460</v>
      </c>
      <c r="D511" s="5" t="s">
        <v>466</v>
      </c>
      <c r="F511" s="6">
        <v>46055</v>
      </c>
      <c r="G511" s="6">
        <v>46066</v>
      </c>
      <c r="H511" s="10">
        <f t="shared" ca="1" si="17"/>
        <v>3</v>
      </c>
      <c r="I511" s="8" t="s">
        <v>22</v>
      </c>
      <c r="J511" s="8" t="s">
        <v>17</v>
      </c>
      <c r="K511" s="9" t="s">
        <v>56</v>
      </c>
      <c r="L511" s="8" t="s">
        <v>57</v>
      </c>
    </row>
    <row r="512" spans="1:12">
      <c r="A512" s="5" t="s">
        <v>431</v>
      </c>
      <c r="C512" s="12" t="s">
        <v>460</v>
      </c>
      <c r="D512" s="5" t="s">
        <v>467</v>
      </c>
      <c r="F512" s="6">
        <v>46055</v>
      </c>
      <c r="G512" s="6">
        <v>46066</v>
      </c>
      <c r="H512" s="10">
        <f t="shared" ca="1" si="17"/>
        <v>3</v>
      </c>
      <c r="I512" s="8" t="s">
        <v>22</v>
      </c>
      <c r="J512" s="8" t="s">
        <v>17</v>
      </c>
      <c r="K512" s="9" t="s">
        <v>56</v>
      </c>
      <c r="L512" s="8" t="s">
        <v>57</v>
      </c>
    </row>
    <row r="513" spans="1:12">
      <c r="A513" s="5" t="s">
        <v>431</v>
      </c>
      <c r="C513" s="12" t="s">
        <v>460</v>
      </c>
      <c r="D513" s="5" t="s">
        <v>468</v>
      </c>
      <c r="F513" s="6">
        <v>46055</v>
      </c>
      <c r="G513" s="6">
        <v>46066</v>
      </c>
      <c r="H513" s="10">
        <f t="shared" ca="1" si="17"/>
        <v>3</v>
      </c>
      <c r="I513" s="8" t="s">
        <v>22</v>
      </c>
      <c r="J513" s="8" t="s">
        <v>17</v>
      </c>
      <c r="K513" s="9" t="s">
        <v>56</v>
      </c>
      <c r="L513" s="8" t="s">
        <v>57</v>
      </c>
    </row>
    <row r="514" spans="1:12">
      <c r="A514" s="5" t="s">
        <v>431</v>
      </c>
      <c r="C514" s="12" t="s">
        <v>469</v>
      </c>
      <c r="D514" s="5" t="s">
        <v>470</v>
      </c>
      <c r="F514" s="6">
        <v>46034</v>
      </c>
      <c r="G514" s="6">
        <v>46028</v>
      </c>
      <c r="H514" s="10" t="str">
        <f t="shared" ca="1" si="17"/>
        <v>Prazo encerrado</v>
      </c>
      <c r="I514" s="8" t="s">
        <v>71</v>
      </c>
      <c r="J514" s="8" t="s">
        <v>17</v>
      </c>
      <c r="K514" s="9" t="s">
        <v>18</v>
      </c>
      <c r="L514" s="8" t="s">
        <v>87</v>
      </c>
    </row>
    <row r="515" spans="1:12" ht="15">
      <c r="A515" s="5" t="s">
        <v>431</v>
      </c>
      <c r="C515" s="12" t="s">
        <v>471</v>
      </c>
      <c r="D515" s="5" t="s">
        <v>472</v>
      </c>
      <c r="F515" s="6">
        <v>46034</v>
      </c>
      <c r="G515" s="6">
        <v>46028</v>
      </c>
      <c r="H515" s="10" t="str">
        <f t="shared" ref="H515" ca="1" si="18">IF(INT(G515-TODAY())&lt;=0,"Prazo encerrado",INT(G515-TODAY()))</f>
        <v>Prazo encerrado</v>
      </c>
      <c r="I515" s="8" t="s">
        <v>71</v>
      </c>
      <c r="J515" s="8" t="s">
        <v>17</v>
      </c>
      <c r="K515" s="9" t="s">
        <v>18</v>
      </c>
      <c r="L515" s="8" t="s">
        <v>87</v>
      </c>
    </row>
    <row r="516" spans="1:12">
      <c r="I516" s="8"/>
      <c r="J516" s="8"/>
      <c r="K516" s="8"/>
      <c r="L516" s="8"/>
    </row>
    <row r="517" spans="1:12">
      <c r="I517" s="8"/>
      <c r="J517" s="8"/>
      <c r="K517" s="8"/>
      <c r="L517" s="8"/>
    </row>
  </sheetData>
  <phoneticPr fontId="8" type="noConversion"/>
  <conditionalFormatting sqref="H2:H1048576">
    <cfRule type="containsText" dxfId="23" priority="15" operator="containsText" text="Prazo encerrado">
      <formula>NOT(ISERROR(SEARCH("Prazo encerrado",H2)))</formula>
    </cfRule>
    <cfRule type="cellIs" dxfId="22" priority="17" operator="greaterThan">
      <formula>21</formula>
    </cfRule>
    <cfRule type="cellIs" dxfId="21" priority="18" operator="between">
      <formula>11</formula>
      <formula>20</formula>
    </cfRule>
    <cfRule type="cellIs" dxfId="20" priority="19" operator="between">
      <formula>1</formula>
      <formula>10</formula>
    </cfRule>
  </conditionalFormatting>
  <conditionalFormatting sqref="I2:J514 I516:J1048576">
    <cfRule type="containsText" dxfId="19" priority="27" operator="containsText" text="Baixa">
      <formula>NOT(ISERROR(SEARCH("Baixa",I2)))</formula>
    </cfRule>
    <cfRule type="containsText" dxfId="18" priority="28" operator="containsText" text="Média">
      <formula>NOT(ISERROR(SEARCH("Média",I2)))</formula>
    </cfRule>
    <cfRule type="containsText" dxfId="17" priority="29" operator="containsText" text="Alta">
      <formula>NOT(ISERROR(SEARCH("Alta",I2)))</formula>
    </cfRule>
  </conditionalFormatting>
  <conditionalFormatting sqref="K2:K1048576">
    <cfRule type="containsText" dxfId="16" priority="23" operator="containsText" text="Cancelado">
      <formula>NOT(ISERROR(SEARCH("Cancelado",K2)))</formula>
    </cfRule>
    <cfRule type="containsText" dxfId="15" priority="24" operator="containsText" text="Parado">
      <formula>NOT(ISERROR(SEARCH("Parado",K2)))</formula>
    </cfRule>
    <cfRule type="containsText" dxfId="14" priority="25" operator="containsText" text="Concluído">
      <formula>NOT(ISERROR(SEARCH("Concluído",K2)))</formula>
    </cfRule>
    <cfRule type="containsText" dxfId="13" priority="26" operator="containsText" text="Pendente">
      <formula>NOT(ISERROR(SEARCH("Pendente",K2)))</formula>
    </cfRule>
  </conditionalFormatting>
  <conditionalFormatting sqref="L2:L261 L454:L517">
    <cfRule type="containsText" dxfId="12" priority="20" operator="containsText" text="Solicitação de Ajustes para a ID">
      <formula>NOT(ISERROR(SEARCH("Solicitação de Ajustes para a ID",L2)))</formula>
    </cfRule>
    <cfRule type="containsText" dxfId="11" priority="21" operator="containsText" text="Aprovado">
      <formula>NOT(ISERROR(SEARCH("Aprovado",L2)))</formula>
    </cfRule>
  </conditionalFormatting>
  <conditionalFormatting sqref="L2:L1048576">
    <cfRule type="containsText" dxfId="10" priority="14" operator="containsText" text="Em Produção">
      <formula>NOT(ISERROR(SEARCH("Em Produção",L2)))</formula>
    </cfRule>
    <cfRule type="containsText" dxfId="9" priority="22" operator="containsText" text="Aguardando Aprovação da Cocred">
      <formula>NOT(ISERROR(SEARCH("Aguardando Aprovação da Cocred",L2)))</formula>
    </cfRule>
  </conditionalFormatting>
  <conditionalFormatting sqref="L345:L349">
    <cfRule type="containsText" dxfId="8" priority="8" operator="containsText" text="Solicitação de Ajustes para a ID">
      <formula>NOT(ISERROR(SEARCH("Solicitação de Ajustes para a ID",L345)))</formula>
    </cfRule>
    <cfRule type="containsText" dxfId="7" priority="9" operator="containsText" text="Aprovado">
      <formula>NOT(ISERROR(SEARCH("Aprovado",L345)))</formula>
    </cfRule>
  </conditionalFormatting>
  <conditionalFormatting sqref="L360:L423">
    <cfRule type="containsText" dxfId="6" priority="6" operator="containsText" text="Solicitação de Ajustes para a ID">
      <formula>NOT(ISERROR(SEARCH("Solicitação de Ajustes para a ID",L360)))</formula>
    </cfRule>
    <cfRule type="containsText" dxfId="5" priority="7" operator="containsText" text="Aprovado">
      <formula>NOT(ISERROR(SEARCH("Aprovado",L360)))</formula>
    </cfRule>
  </conditionalFormatting>
  <conditionalFormatting sqref="L460:L477">
    <cfRule type="containsText" dxfId="4" priority="4" operator="containsText" text="Solicitação de Ajustes para a ID">
      <formula>NOT(ISERROR(SEARCH("Solicitação de Ajustes para a ID",L460)))</formula>
    </cfRule>
    <cfRule type="containsText" dxfId="3" priority="5" operator="containsText" text="Aprovado">
      <formula>NOT(ISERROR(SEARCH("Aprovado",L460)))</formula>
    </cfRule>
  </conditionalFormatting>
  <conditionalFormatting sqref="I515:J515">
    <cfRule type="containsText" dxfId="2" priority="1" operator="containsText" text="Baixa">
      <formula>NOT(ISERROR(SEARCH("Baixa",I515)))</formula>
    </cfRule>
    <cfRule type="containsText" dxfId="1" priority="2" operator="containsText" text="Média">
      <formula>NOT(ISERROR(SEARCH("Média",I515)))</formula>
    </cfRule>
    <cfRule type="containsText" dxfId="0" priority="3" operator="containsText" text="Alta">
      <formula>NOT(ISERROR(SEARCH("Alta",I515)))</formula>
    </cfRule>
  </conditionalFormatting>
  <pageMargins left="0.7" right="0.7" top="0.75" bottom="0.75" header="0.3" footer="0.3"/>
  <headerFooter>
    <oddFooter>&amp;L_x000D_&amp;1#&amp;"Aptos"&amp;10&amp;K0000FF #RESTRITO#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E4CBB5E-4A30-4ED9-BDB1-6F54EC421829}">
          <x14:formula1>
            <xm:f>Planilha2!$C$10:$C$12</xm:f>
          </x14:formula1>
          <xm:sqref>I2:I251 I297:I517</xm:sqref>
        </x14:dataValidation>
        <x14:dataValidation type="list" allowBlank="1" showInputMessage="1" showErrorMessage="1" xr:uid="{E3E3193D-3FFC-4083-A5F4-EA1AF992B068}">
          <x14:formula1>
            <xm:f>Planilha2!$A$15:$A$18</xm:f>
          </x14:formula1>
          <xm:sqref>L2:L1048576</xm:sqref>
        </x14:dataValidation>
        <x14:dataValidation type="list" allowBlank="1" showInputMessage="1" showErrorMessage="1" xr:uid="{2B89438A-7057-4E0F-8616-A1348531AD0E}">
          <x14:formula1>
            <xm:f>Planilha2!$A$20:$A$24</xm:f>
          </x14:formula1>
          <xm:sqref>A2:B1048576</xm:sqref>
        </x14:dataValidation>
        <x14:dataValidation type="list" allowBlank="1" showInputMessage="1" showErrorMessage="1" xr:uid="{53EFBACE-0C2A-4542-AD33-5971585066E0}">
          <x14:formula1>
            <xm:f>Planilha2!$A$10:$A$13</xm:f>
          </x14:formula1>
          <xm:sqref>K2:K1048576</xm:sqref>
        </x14:dataValidation>
        <x14:dataValidation type="list" allowBlank="1" showInputMessage="1" showErrorMessage="1" xr:uid="{2BE32188-FFE4-4306-A13C-9D9017EB4556}">
          <x14:formula1>
            <xm:f>Planilha2!$A$26:$A$27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67FC-434B-474D-B260-2E91824C966A}">
  <dimension ref="A1:B120"/>
  <sheetViews>
    <sheetView zoomScaleNormal="100" workbookViewId="0">
      <selection activeCell="C38" sqref="C38"/>
    </sheetView>
  </sheetViews>
  <sheetFormatPr defaultRowHeight="14.45"/>
  <cols>
    <col min="1" max="1" width="55.5703125" bestFit="1" customWidth="1"/>
    <col min="2" max="2" width="21.7109375" bestFit="1" customWidth="1"/>
    <col min="3" max="3" width="9.7109375" bestFit="1" customWidth="1"/>
    <col min="4" max="4" width="10.7109375" bestFit="1" customWidth="1"/>
  </cols>
  <sheetData>
    <row r="1" spans="1:2">
      <c r="A1" s="17" t="s">
        <v>7</v>
      </c>
      <c r="B1" t="s">
        <v>473</v>
      </c>
    </row>
    <row r="2" spans="1:2">
      <c r="A2" s="17" t="s">
        <v>8</v>
      </c>
      <c r="B2" t="s">
        <v>473</v>
      </c>
    </row>
    <row r="3" spans="1:2">
      <c r="A3" s="17" t="s">
        <v>9</v>
      </c>
      <c r="B3" t="s">
        <v>473</v>
      </c>
    </row>
    <row r="4" spans="1:2">
      <c r="A4" s="17" t="s">
        <v>10</v>
      </c>
      <c r="B4" t="s">
        <v>473</v>
      </c>
    </row>
    <row r="6" spans="1:2">
      <c r="A6" s="17" t="s">
        <v>474</v>
      </c>
      <c r="B6" t="s">
        <v>475</v>
      </c>
    </row>
    <row r="7" spans="1:2">
      <c r="A7" s="18" t="s">
        <v>99</v>
      </c>
      <c r="B7">
        <v>65</v>
      </c>
    </row>
    <row r="8" spans="1:2">
      <c r="A8" s="19" t="s">
        <v>87</v>
      </c>
      <c r="B8">
        <v>5</v>
      </c>
    </row>
    <row r="9" spans="1:2">
      <c r="A9" s="19" t="s">
        <v>19</v>
      </c>
      <c r="B9">
        <v>6</v>
      </c>
    </row>
    <row r="10" spans="1:2" ht="15">
      <c r="A10" s="19" t="s">
        <v>57</v>
      </c>
      <c r="B10">
        <v>54</v>
      </c>
    </row>
    <row r="11" spans="1:2" ht="15">
      <c r="A11" s="21" t="s">
        <v>14</v>
      </c>
      <c r="B11">
        <v>46</v>
      </c>
    </row>
    <row r="12" spans="1:2" ht="15">
      <c r="A12" s="19" t="s">
        <v>19</v>
      </c>
      <c r="B12">
        <v>33</v>
      </c>
    </row>
    <row r="13" spans="1:2">
      <c r="A13" s="19" t="s">
        <v>57</v>
      </c>
      <c r="B13">
        <v>13</v>
      </c>
    </row>
    <row r="14" spans="1:2" ht="15">
      <c r="A14" s="21" t="s">
        <v>311</v>
      </c>
      <c r="B14">
        <v>45</v>
      </c>
    </row>
    <row r="15" spans="1:2" ht="15">
      <c r="A15" s="19" t="s">
        <v>87</v>
      </c>
      <c r="B15">
        <v>4</v>
      </c>
    </row>
    <row r="16" spans="1:2">
      <c r="A16" s="19" t="s">
        <v>19</v>
      </c>
      <c r="B16">
        <v>10</v>
      </c>
    </row>
    <row r="17" spans="1:2" ht="15">
      <c r="A17" s="19" t="s">
        <v>57</v>
      </c>
      <c r="B17">
        <v>31</v>
      </c>
    </row>
    <row r="18" spans="1:2" ht="15">
      <c r="A18" s="21" t="s">
        <v>429</v>
      </c>
      <c r="B18">
        <v>36</v>
      </c>
    </row>
    <row r="19" spans="1:2">
      <c r="A19" s="19" t="s">
        <v>19</v>
      </c>
      <c r="B19">
        <v>1</v>
      </c>
    </row>
    <row r="20" spans="1:2">
      <c r="A20" s="19" t="s">
        <v>57</v>
      </c>
      <c r="B20">
        <v>35</v>
      </c>
    </row>
    <row r="21" spans="1:2" ht="15">
      <c r="A21" s="21" t="s">
        <v>430</v>
      </c>
      <c r="B21">
        <v>36</v>
      </c>
    </row>
    <row r="22" spans="1:2">
      <c r="A22" s="19" t="s">
        <v>19</v>
      </c>
      <c r="B22">
        <v>1</v>
      </c>
    </row>
    <row r="23" spans="1:2">
      <c r="A23" s="19" t="s">
        <v>57</v>
      </c>
      <c r="B23">
        <v>35</v>
      </c>
    </row>
    <row r="24" spans="1:2" ht="15">
      <c r="A24" s="21" t="s">
        <v>275</v>
      </c>
      <c r="B24">
        <v>36</v>
      </c>
    </row>
    <row r="25" spans="1:2">
      <c r="A25" s="19" t="s">
        <v>19</v>
      </c>
      <c r="B25">
        <v>3</v>
      </c>
    </row>
    <row r="26" spans="1:2" ht="15">
      <c r="A26" s="19" t="s">
        <v>57</v>
      </c>
      <c r="B26">
        <v>33</v>
      </c>
    </row>
    <row r="27" spans="1:2" ht="15">
      <c r="A27" s="21" t="s">
        <v>423</v>
      </c>
      <c r="B27">
        <v>28</v>
      </c>
    </row>
    <row r="28" spans="1:2" ht="15">
      <c r="A28" s="19" t="s">
        <v>19</v>
      </c>
      <c r="B28">
        <v>3</v>
      </c>
    </row>
    <row r="29" spans="1:2">
      <c r="A29" s="19" t="s">
        <v>57</v>
      </c>
      <c r="B29">
        <v>25</v>
      </c>
    </row>
    <row r="30" spans="1:2">
      <c r="A30" s="18" t="s">
        <v>238</v>
      </c>
      <c r="B30">
        <v>25</v>
      </c>
    </row>
    <row r="31" spans="1:2">
      <c r="A31" s="19" t="s">
        <v>57</v>
      </c>
      <c r="B31">
        <v>25</v>
      </c>
    </row>
    <row r="32" spans="1:2">
      <c r="A32" s="18" t="s">
        <v>217</v>
      </c>
      <c r="B32">
        <v>21</v>
      </c>
    </row>
    <row r="33" spans="1:2">
      <c r="A33" s="19" t="s">
        <v>57</v>
      </c>
      <c r="B33">
        <v>19</v>
      </c>
    </row>
    <row r="34" spans="1:2">
      <c r="A34" s="19" t="s">
        <v>214</v>
      </c>
      <c r="B34">
        <v>2</v>
      </c>
    </row>
    <row r="35" spans="1:2">
      <c r="A35" s="18" t="s">
        <v>440</v>
      </c>
      <c r="B35">
        <v>16</v>
      </c>
    </row>
    <row r="36" spans="1:2">
      <c r="A36" s="19" t="s">
        <v>19</v>
      </c>
      <c r="B36">
        <v>6</v>
      </c>
    </row>
    <row r="37" spans="1:2">
      <c r="A37" s="19" t="s">
        <v>57</v>
      </c>
      <c r="B37">
        <v>10</v>
      </c>
    </row>
    <row r="38" spans="1:2" ht="15">
      <c r="A38" s="21" t="s">
        <v>72</v>
      </c>
      <c r="B38">
        <v>16</v>
      </c>
    </row>
    <row r="39" spans="1:2">
      <c r="A39" s="19" t="s">
        <v>87</v>
      </c>
      <c r="B39">
        <v>1</v>
      </c>
    </row>
    <row r="40" spans="1:2">
      <c r="A40" s="19" t="s">
        <v>19</v>
      </c>
      <c r="B40">
        <v>2</v>
      </c>
    </row>
    <row r="41" spans="1:2">
      <c r="A41" s="19" t="s">
        <v>57</v>
      </c>
      <c r="B41">
        <v>13</v>
      </c>
    </row>
    <row r="42" spans="1:2">
      <c r="A42" s="18" t="s">
        <v>196</v>
      </c>
      <c r="B42">
        <v>14</v>
      </c>
    </row>
    <row r="43" spans="1:2">
      <c r="A43" s="19" t="s">
        <v>19</v>
      </c>
      <c r="B43">
        <v>1</v>
      </c>
    </row>
    <row r="44" spans="1:2">
      <c r="A44" s="19" t="s">
        <v>57</v>
      </c>
      <c r="B44">
        <v>13</v>
      </c>
    </row>
    <row r="45" spans="1:2">
      <c r="A45" s="18" t="s">
        <v>371</v>
      </c>
      <c r="B45">
        <v>12</v>
      </c>
    </row>
    <row r="46" spans="1:2">
      <c r="A46" s="19" t="s">
        <v>57</v>
      </c>
      <c r="B46">
        <v>7</v>
      </c>
    </row>
    <row r="47" spans="1:2">
      <c r="A47" s="19" t="s">
        <v>214</v>
      </c>
      <c r="B47">
        <v>5</v>
      </c>
    </row>
    <row r="48" spans="1:2">
      <c r="A48" s="18" t="s">
        <v>357</v>
      </c>
      <c r="B48">
        <v>11</v>
      </c>
    </row>
    <row r="49" spans="1:2">
      <c r="A49" s="19" t="s">
        <v>19</v>
      </c>
      <c r="B49">
        <v>4</v>
      </c>
    </row>
    <row r="50" spans="1:2">
      <c r="A50" s="19" t="s">
        <v>57</v>
      </c>
      <c r="B50">
        <v>3</v>
      </c>
    </row>
    <row r="51" spans="1:2">
      <c r="A51" s="19" t="s">
        <v>214</v>
      </c>
      <c r="B51">
        <v>4</v>
      </c>
    </row>
    <row r="52" spans="1:2">
      <c r="A52" s="18" t="s">
        <v>460</v>
      </c>
      <c r="B52">
        <v>8</v>
      </c>
    </row>
    <row r="53" spans="1:2">
      <c r="A53" s="19" t="s">
        <v>57</v>
      </c>
      <c r="B53">
        <v>8</v>
      </c>
    </row>
    <row r="54" spans="1:2">
      <c r="A54" s="18" t="s">
        <v>180</v>
      </c>
      <c r="B54">
        <v>8</v>
      </c>
    </row>
    <row r="55" spans="1:2">
      <c r="A55" s="19" t="s">
        <v>87</v>
      </c>
      <c r="B55">
        <v>1</v>
      </c>
    </row>
    <row r="56" spans="1:2">
      <c r="A56" s="19" t="s">
        <v>19</v>
      </c>
      <c r="B56">
        <v>4</v>
      </c>
    </row>
    <row r="57" spans="1:2">
      <c r="A57" s="19" t="s">
        <v>57</v>
      </c>
      <c r="B57">
        <v>3</v>
      </c>
    </row>
    <row r="58" spans="1:2">
      <c r="A58" s="18" t="s">
        <v>404</v>
      </c>
      <c r="B58">
        <v>8</v>
      </c>
    </row>
    <row r="59" spans="1:2">
      <c r="A59" s="19" t="s">
        <v>57</v>
      </c>
      <c r="B59">
        <v>8</v>
      </c>
    </row>
    <row r="60" spans="1:2">
      <c r="A60" s="18" t="s">
        <v>385</v>
      </c>
      <c r="B60">
        <v>7</v>
      </c>
    </row>
    <row r="61" spans="1:2">
      <c r="A61" s="19" t="s">
        <v>19</v>
      </c>
      <c r="B61">
        <v>1</v>
      </c>
    </row>
    <row r="62" spans="1:2">
      <c r="A62" s="19" t="s">
        <v>57</v>
      </c>
      <c r="B62">
        <v>6</v>
      </c>
    </row>
    <row r="63" spans="1:2">
      <c r="A63" s="18" t="s">
        <v>393</v>
      </c>
      <c r="B63">
        <v>6</v>
      </c>
    </row>
    <row r="64" spans="1:2">
      <c r="A64" s="19" t="s">
        <v>57</v>
      </c>
      <c r="B64">
        <v>5</v>
      </c>
    </row>
    <row r="65" spans="1:2">
      <c r="A65" s="19" t="s">
        <v>214</v>
      </c>
      <c r="B65">
        <v>1</v>
      </c>
    </row>
    <row r="66" spans="1:2">
      <c r="A66" s="18" t="s">
        <v>422</v>
      </c>
      <c r="B66">
        <v>5</v>
      </c>
    </row>
    <row r="67" spans="1:2">
      <c r="A67" s="19" t="s">
        <v>57</v>
      </c>
      <c r="B67">
        <v>5</v>
      </c>
    </row>
    <row r="68" spans="1:2">
      <c r="A68" s="18" t="s">
        <v>419</v>
      </c>
      <c r="B68">
        <v>5</v>
      </c>
    </row>
    <row r="69" spans="1:2">
      <c r="A69" s="19" t="s">
        <v>57</v>
      </c>
      <c r="B69">
        <v>5</v>
      </c>
    </row>
    <row r="70" spans="1:2">
      <c r="A70" s="18" t="s">
        <v>439</v>
      </c>
      <c r="B70">
        <v>4</v>
      </c>
    </row>
    <row r="71" spans="1:2">
      <c r="A71" s="19" t="s">
        <v>57</v>
      </c>
      <c r="B71">
        <v>4</v>
      </c>
    </row>
    <row r="72" spans="1:2">
      <c r="A72" s="18" t="s">
        <v>457</v>
      </c>
      <c r="B72">
        <v>4</v>
      </c>
    </row>
    <row r="73" spans="1:2">
      <c r="A73" s="19" t="s">
        <v>57</v>
      </c>
      <c r="B73">
        <v>4</v>
      </c>
    </row>
    <row r="74" spans="1:2">
      <c r="A74" s="18" t="s">
        <v>459</v>
      </c>
      <c r="B74">
        <v>4</v>
      </c>
    </row>
    <row r="75" spans="1:2">
      <c r="A75" s="19" t="s">
        <v>57</v>
      </c>
      <c r="B75">
        <v>4</v>
      </c>
    </row>
    <row r="76" spans="1:2">
      <c r="A76" s="18" t="s">
        <v>307</v>
      </c>
      <c r="B76">
        <v>4</v>
      </c>
    </row>
    <row r="77" spans="1:2">
      <c r="A77" s="19" t="s">
        <v>57</v>
      </c>
      <c r="B77">
        <v>4</v>
      </c>
    </row>
    <row r="78" spans="1:2">
      <c r="A78" s="18" t="s">
        <v>437</v>
      </c>
      <c r="B78">
        <v>4</v>
      </c>
    </row>
    <row r="79" spans="1:2">
      <c r="A79" s="19" t="s">
        <v>57</v>
      </c>
      <c r="B79">
        <v>4</v>
      </c>
    </row>
    <row r="80" spans="1:2">
      <c r="A80" s="18" t="s">
        <v>399</v>
      </c>
      <c r="B80">
        <v>4</v>
      </c>
    </row>
    <row r="81" spans="1:2">
      <c r="A81" s="19" t="s">
        <v>57</v>
      </c>
      <c r="B81">
        <v>4</v>
      </c>
    </row>
    <row r="82" spans="1:2">
      <c r="A82" s="18" t="s">
        <v>458</v>
      </c>
      <c r="B82">
        <v>4</v>
      </c>
    </row>
    <row r="83" spans="1:2">
      <c r="A83" s="19" t="s">
        <v>57</v>
      </c>
      <c r="B83">
        <v>4</v>
      </c>
    </row>
    <row r="84" spans="1:2">
      <c r="A84" s="18" t="s">
        <v>267</v>
      </c>
      <c r="B84">
        <v>4</v>
      </c>
    </row>
    <row r="85" spans="1:2">
      <c r="A85" s="19" t="s">
        <v>87</v>
      </c>
      <c r="B85">
        <v>4</v>
      </c>
    </row>
    <row r="86" spans="1:2">
      <c r="A86" s="18" t="s">
        <v>435</v>
      </c>
      <c r="B86">
        <v>4</v>
      </c>
    </row>
    <row r="87" spans="1:2">
      <c r="A87" s="19" t="s">
        <v>57</v>
      </c>
      <c r="B87">
        <v>4</v>
      </c>
    </row>
    <row r="88" spans="1:2">
      <c r="A88" s="18" t="s">
        <v>264</v>
      </c>
      <c r="B88">
        <v>3</v>
      </c>
    </row>
    <row r="89" spans="1:2">
      <c r="A89" s="19" t="s">
        <v>57</v>
      </c>
      <c r="B89">
        <v>3</v>
      </c>
    </row>
    <row r="90" spans="1:2">
      <c r="A90" s="18" t="s">
        <v>432</v>
      </c>
      <c r="B90">
        <v>2</v>
      </c>
    </row>
    <row r="91" spans="1:2">
      <c r="A91" s="19" t="s">
        <v>57</v>
      </c>
      <c r="B91">
        <v>2</v>
      </c>
    </row>
    <row r="92" spans="1:2">
      <c r="A92" s="18" t="s">
        <v>438</v>
      </c>
      <c r="B92">
        <v>2</v>
      </c>
    </row>
    <row r="93" spans="1:2">
      <c r="A93" s="19" t="s">
        <v>57</v>
      </c>
      <c r="B93">
        <v>2</v>
      </c>
    </row>
    <row r="94" spans="1:2">
      <c r="A94" s="18" t="s">
        <v>434</v>
      </c>
      <c r="B94">
        <v>2</v>
      </c>
    </row>
    <row r="95" spans="1:2">
      <c r="A95" s="19" t="s">
        <v>57</v>
      </c>
      <c r="B95">
        <v>2</v>
      </c>
    </row>
    <row r="96" spans="1:2">
      <c r="A96" s="18" t="s">
        <v>212</v>
      </c>
      <c r="B96">
        <v>2</v>
      </c>
    </row>
    <row r="97" spans="1:2">
      <c r="A97" s="19" t="s">
        <v>214</v>
      </c>
      <c r="B97">
        <v>2</v>
      </c>
    </row>
    <row r="98" spans="1:2">
      <c r="A98" s="18" t="s">
        <v>94</v>
      </c>
      <c r="B98">
        <v>2</v>
      </c>
    </row>
    <row r="99" spans="1:2">
      <c r="A99" s="19" t="s">
        <v>57</v>
      </c>
      <c r="B99">
        <v>2</v>
      </c>
    </row>
    <row r="100" spans="1:2">
      <c r="A100" s="18" t="s">
        <v>415</v>
      </c>
      <c r="B100">
        <v>1</v>
      </c>
    </row>
    <row r="101" spans="1:2">
      <c r="A101" s="19" t="s">
        <v>57</v>
      </c>
      <c r="B101">
        <v>1</v>
      </c>
    </row>
    <row r="102" spans="1:2">
      <c r="A102" s="18" t="s">
        <v>413</v>
      </c>
      <c r="B102">
        <v>1</v>
      </c>
    </row>
    <row r="103" spans="1:2">
      <c r="A103" s="19" t="s">
        <v>57</v>
      </c>
      <c r="B103">
        <v>1</v>
      </c>
    </row>
    <row r="104" spans="1:2">
      <c r="A104" s="18" t="s">
        <v>416</v>
      </c>
      <c r="B104">
        <v>1</v>
      </c>
    </row>
    <row r="105" spans="1:2">
      <c r="A105" s="19" t="s">
        <v>57</v>
      </c>
      <c r="B105">
        <v>1</v>
      </c>
    </row>
    <row r="106" spans="1:2">
      <c r="A106" s="18" t="s">
        <v>300</v>
      </c>
      <c r="B106">
        <v>1</v>
      </c>
    </row>
    <row r="107" spans="1:2">
      <c r="A107" s="19" t="s">
        <v>214</v>
      </c>
      <c r="B107">
        <v>1</v>
      </c>
    </row>
    <row r="108" spans="1:2">
      <c r="A108" s="18" t="s">
        <v>302</v>
      </c>
      <c r="B108">
        <v>1</v>
      </c>
    </row>
    <row r="109" spans="1:2">
      <c r="A109" s="19" t="s">
        <v>57</v>
      </c>
      <c r="B109">
        <v>1</v>
      </c>
    </row>
    <row r="110" spans="1:2">
      <c r="A110" s="18" t="s">
        <v>469</v>
      </c>
      <c r="B110">
        <v>1</v>
      </c>
    </row>
    <row r="111" spans="1:2">
      <c r="A111" s="19" t="s">
        <v>87</v>
      </c>
      <c r="B111">
        <v>1</v>
      </c>
    </row>
    <row r="112" spans="1:2">
      <c r="A112" s="18" t="s">
        <v>418</v>
      </c>
      <c r="B112">
        <v>1</v>
      </c>
    </row>
    <row r="113" spans="1:2">
      <c r="A113" s="19" t="s">
        <v>57</v>
      </c>
      <c r="B113">
        <v>1</v>
      </c>
    </row>
    <row r="114" spans="1:2">
      <c r="A114" s="18" t="s">
        <v>304</v>
      </c>
      <c r="B114">
        <v>1</v>
      </c>
    </row>
    <row r="115" spans="1:2">
      <c r="A115" s="19" t="s">
        <v>57</v>
      </c>
      <c r="B115">
        <v>1</v>
      </c>
    </row>
    <row r="116" spans="1:2">
      <c r="A116" s="18" t="s">
        <v>417</v>
      </c>
      <c r="B116">
        <v>1</v>
      </c>
    </row>
    <row r="117" spans="1:2">
      <c r="A117" s="19" t="s">
        <v>57</v>
      </c>
      <c r="B117">
        <v>1</v>
      </c>
    </row>
    <row r="118" spans="1:2">
      <c r="A118" s="18" t="s">
        <v>96</v>
      </c>
      <c r="B118">
        <v>1</v>
      </c>
    </row>
    <row r="119" spans="1:2">
      <c r="A119" s="19" t="s">
        <v>57</v>
      </c>
      <c r="B119">
        <v>1</v>
      </c>
    </row>
    <row r="120" spans="1:2">
      <c r="A120" s="18" t="s">
        <v>476</v>
      </c>
      <c r="B120">
        <v>513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035F-F3EA-47FF-86A4-D934FAEBD05D}">
  <dimension ref="A2:B9"/>
  <sheetViews>
    <sheetView workbookViewId="0">
      <selection activeCell="E12" sqref="E12"/>
    </sheetView>
  </sheetViews>
  <sheetFormatPr defaultRowHeight="14.45"/>
  <cols>
    <col min="1" max="1" width="29.7109375" bestFit="1" customWidth="1"/>
    <col min="2" max="2" width="19.85546875" bestFit="1" customWidth="1"/>
  </cols>
  <sheetData>
    <row r="2" spans="1:2">
      <c r="A2" s="17" t="s">
        <v>2</v>
      </c>
      <c r="B2" t="s">
        <v>473</v>
      </c>
    </row>
    <row r="4" spans="1:2">
      <c r="A4" s="17" t="s">
        <v>474</v>
      </c>
      <c r="B4" t="s">
        <v>475</v>
      </c>
    </row>
    <row r="5" spans="1:2">
      <c r="A5" s="18" t="s">
        <v>87</v>
      </c>
      <c r="B5">
        <v>16</v>
      </c>
    </row>
    <row r="6" spans="1:2">
      <c r="A6" s="18" t="s">
        <v>19</v>
      </c>
      <c r="B6">
        <v>75</v>
      </c>
    </row>
    <row r="7" spans="1:2">
      <c r="A7" s="18" t="s">
        <v>57</v>
      </c>
      <c r="B7">
        <v>407</v>
      </c>
    </row>
    <row r="8" spans="1:2">
      <c r="A8" s="18" t="s">
        <v>214</v>
      </c>
      <c r="B8">
        <v>15</v>
      </c>
    </row>
    <row r="9" spans="1:2">
      <c r="A9" s="18" t="s">
        <v>476</v>
      </c>
      <c r="B9">
        <v>513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6E70-4D4E-43CA-AA9A-A0C18806A47E}">
  <dimension ref="A3:E10"/>
  <sheetViews>
    <sheetView workbookViewId="0">
      <selection activeCell="G5" sqref="G5"/>
    </sheetView>
  </sheetViews>
  <sheetFormatPr defaultRowHeight="14.45"/>
  <cols>
    <col min="1" max="1" width="28.85546875" bestFit="1" customWidth="1"/>
    <col min="2" max="2" width="18.42578125" bestFit="1" customWidth="1"/>
    <col min="3" max="3" width="6.85546875" bestFit="1" customWidth="1"/>
    <col min="4" max="4" width="8.85546875" bestFit="1" customWidth="1"/>
    <col min="5" max="5" width="10" bestFit="1" customWidth="1"/>
  </cols>
  <sheetData>
    <row r="3" spans="1:5">
      <c r="A3" s="17" t="s">
        <v>477</v>
      </c>
      <c r="B3" s="17" t="s">
        <v>478</v>
      </c>
    </row>
    <row r="4" spans="1:5">
      <c r="A4" s="17" t="s">
        <v>474</v>
      </c>
      <c r="B4" t="s">
        <v>18</v>
      </c>
      <c r="C4" t="s">
        <v>190</v>
      </c>
      <c r="D4" t="s">
        <v>56</v>
      </c>
      <c r="E4" t="s">
        <v>476</v>
      </c>
    </row>
    <row r="5" spans="1:5">
      <c r="A5" s="18" t="s">
        <v>13</v>
      </c>
      <c r="B5">
        <v>33</v>
      </c>
      <c r="C5">
        <v>4</v>
      </c>
      <c r="D5">
        <v>7</v>
      </c>
      <c r="E5">
        <v>44</v>
      </c>
    </row>
    <row r="6" spans="1:5">
      <c r="A6" s="18" t="s">
        <v>310</v>
      </c>
      <c r="B6">
        <v>10</v>
      </c>
      <c r="D6">
        <v>35</v>
      </c>
      <c r="E6">
        <v>45</v>
      </c>
    </row>
    <row r="7" spans="1:5">
      <c r="A7" s="18" t="s">
        <v>431</v>
      </c>
      <c r="B7">
        <v>7</v>
      </c>
      <c r="D7">
        <v>48</v>
      </c>
      <c r="E7">
        <v>55</v>
      </c>
    </row>
    <row r="8" spans="1:5">
      <c r="A8" s="18" t="s">
        <v>54</v>
      </c>
      <c r="B8">
        <v>26</v>
      </c>
      <c r="C8">
        <v>4</v>
      </c>
      <c r="D8">
        <v>201</v>
      </c>
      <c r="E8">
        <v>231</v>
      </c>
    </row>
    <row r="9" spans="1:5">
      <c r="A9" s="18" t="s">
        <v>98</v>
      </c>
      <c r="B9">
        <v>13</v>
      </c>
      <c r="C9">
        <v>3</v>
      </c>
      <c r="D9">
        <v>122</v>
      </c>
      <c r="E9">
        <v>138</v>
      </c>
    </row>
    <row r="10" spans="1:5">
      <c r="A10" s="18" t="s">
        <v>476</v>
      </c>
      <c r="B10">
        <v>89</v>
      </c>
      <c r="C10">
        <v>11</v>
      </c>
      <c r="D10">
        <v>413</v>
      </c>
      <c r="E10">
        <v>513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AB94-0AF1-44A0-992A-7A766B65DF64}">
  <dimension ref="A3:B50"/>
  <sheetViews>
    <sheetView workbookViewId="0">
      <selection activeCell="E45" sqref="E45"/>
    </sheetView>
  </sheetViews>
  <sheetFormatPr defaultRowHeight="14.45"/>
  <cols>
    <col min="1" max="1" width="49.85546875" bestFit="1" customWidth="1"/>
    <col min="2" max="2" width="28.5703125" bestFit="1" customWidth="1"/>
  </cols>
  <sheetData>
    <row r="3" spans="1:2">
      <c r="A3" s="17" t="s">
        <v>474</v>
      </c>
      <c r="B3" t="s">
        <v>479</v>
      </c>
    </row>
    <row r="4" spans="1:2">
      <c r="A4" s="18" t="s">
        <v>99</v>
      </c>
      <c r="B4">
        <v>65</v>
      </c>
    </row>
    <row r="5" spans="1:2">
      <c r="A5" s="18" t="s">
        <v>14</v>
      </c>
      <c r="B5">
        <v>46</v>
      </c>
    </row>
    <row r="6" spans="1:2">
      <c r="A6" s="18" t="s">
        <v>311</v>
      </c>
      <c r="B6">
        <v>45</v>
      </c>
    </row>
    <row r="7" spans="1:2">
      <c r="A7" s="18" t="s">
        <v>429</v>
      </c>
      <c r="B7">
        <v>36</v>
      </c>
    </row>
    <row r="8" spans="1:2">
      <c r="A8" s="18" t="s">
        <v>430</v>
      </c>
      <c r="B8">
        <v>36</v>
      </c>
    </row>
    <row r="9" spans="1:2">
      <c r="A9" s="18" t="s">
        <v>275</v>
      </c>
      <c r="B9">
        <v>36</v>
      </c>
    </row>
    <row r="10" spans="1:2">
      <c r="A10" s="18" t="s">
        <v>423</v>
      </c>
      <c r="B10">
        <v>28</v>
      </c>
    </row>
    <row r="11" spans="1:2">
      <c r="A11" s="18" t="s">
        <v>238</v>
      </c>
      <c r="B11">
        <v>25</v>
      </c>
    </row>
    <row r="12" spans="1:2">
      <c r="A12" s="18" t="s">
        <v>217</v>
      </c>
      <c r="B12">
        <v>21</v>
      </c>
    </row>
    <row r="13" spans="1:2">
      <c r="A13" s="18" t="s">
        <v>440</v>
      </c>
      <c r="B13">
        <v>16</v>
      </c>
    </row>
    <row r="14" spans="1:2">
      <c r="A14" s="18" t="s">
        <v>72</v>
      </c>
      <c r="B14">
        <v>16</v>
      </c>
    </row>
    <row r="15" spans="1:2">
      <c r="A15" s="18" t="s">
        <v>196</v>
      </c>
      <c r="B15">
        <v>14</v>
      </c>
    </row>
    <row r="16" spans="1:2">
      <c r="A16" s="18" t="s">
        <v>371</v>
      </c>
      <c r="B16">
        <v>12</v>
      </c>
    </row>
    <row r="17" spans="1:2">
      <c r="A17" s="18" t="s">
        <v>357</v>
      </c>
      <c r="B17">
        <v>11</v>
      </c>
    </row>
    <row r="18" spans="1:2">
      <c r="A18" s="18" t="s">
        <v>460</v>
      </c>
      <c r="B18">
        <v>8</v>
      </c>
    </row>
    <row r="19" spans="1:2">
      <c r="A19" s="18" t="s">
        <v>180</v>
      </c>
      <c r="B19">
        <v>8</v>
      </c>
    </row>
    <row r="20" spans="1:2">
      <c r="A20" s="18" t="s">
        <v>404</v>
      </c>
      <c r="B20">
        <v>8</v>
      </c>
    </row>
    <row r="21" spans="1:2">
      <c r="A21" s="18" t="s">
        <v>385</v>
      </c>
      <c r="B21">
        <v>7</v>
      </c>
    </row>
    <row r="22" spans="1:2">
      <c r="A22" s="18" t="s">
        <v>393</v>
      </c>
      <c r="B22">
        <v>6</v>
      </c>
    </row>
    <row r="23" spans="1:2">
      <c r="A23" s="18" t="s">
        <v>422</v>
      </c>
      <c r="B23">
        <v>5</v>
      </c>
    </row>
    <row r="24" spans="1:2">
      <c r="A24" s="18" t="s">
        <v>419</v>
      </c>
      <c r="B24">
        <v>5</v>
      </c>
    </row>
    <row r="25" spans="1:2">
      <c r="A25" s="18" t="s">
        <v>439</v>
      </c>
      <c r="B25">
        <v>4</v>
      </c>
    </row>
    <row r="26" spans="1:2">
      <c r="A26" s="18" t="s">
        <v>457</v>
      </c>
      <c r="B26">
        <v>4</v>
      </c>
    </row>
    <row r="27" spans="1:2">
      <c r="A27" s="18" t="s">
        <v>459</v>
      </c>
      <c r="B27">
        <v>4</v>
      </c>
    </row>
    <row r="28" spans="1:2">
      <c r="A28" s="18" t="s">
        <v>307</v>
      </c>
      <c r="B28">
        <v>4</v>
      </c>
    </row>
    <row r="29" spans="1:2">
      <c r="A29" s="18" t="s">
        <v>437</v>
      </c>
      <c r="B29">
        <v>4</v>
      </c>
    </row>
    <row r="30" spans="1:2">
      <c r="A30" s="18" t="s">
        <v>399</v>
      </c>
      <c r="B30">
        <v>4</v>
      </c>
    </row>
    <row r="31" spans="1:2">
      <c r="A31" s="18" t="s">
        <v>458</v>
      </c>
      <c r="B31">
        <v>4</v>
      </c>
    </row>
    <row r="32" spans="1:2">
      <c r="A32" s="18" t="s">
        <v>267</v>
      </c>
      <c r="B32">
        <v>4</v>
      </c>
    </row>
    <row r="33" spans="1:2">
      <c r="A33" s="18" t="s">
        <v>435</v>
      </c>
      <c r="B33">
        <v>4</v>
      </c>
    </row>
    <row r="34" spans="1:2">
      <c r="A34" s="18" t="s">
        <v>264</v>
      </c>
      <c r="B34">
        <v>3</v>
      </c>
    </row>
    <row r="35" spans="1:2">
      <c r="A35" s="18" t="s">
        <v>432</v>
      </c>
      <c r="B35">
        <v>2</v>
      </c>
    </row>
    <row r="36" spans="1:2">
      <c r="A36" s="18" t="s">
        <v>438</v>
      </c>
      <c r="B36">
        <v>2</v>
      </c>
    </row>
    <row r="37" spans="1:2">
      <c r="A37" s="18" t="s">
        <v>434</v>
      </c>
      <c r="B37">
        <v>2</v>
      </c>
    </row>
    <row r="38" spans="1:2">
      <c r="A38" s="18" t="s">
        <v>212</v>
      </c>
      <c r="B38">
        <v>2</v>
      </c>
    </row>
    <row r="39" spans="1:2">
      <c r="A39" s="18" t="s">
        <v>94</v>
      </c>
      <c r="B39">
        <v>2</v>
      </c>
    </row>
    <row r="40" spans="1:2">
      <c r="A40" s="18" t="s">
        <v>415</v>
      </c>
      <c r="B40">
        <v>1</v>
      </c>
    </row>
    <row r="41" spans="1:2">
      <c r="A41" s="18" t="s">
        <v>413</v>
      </c>
      <c r="B41">
        <v>1</v>
      </c>
    </row>
    <row r="42" spans="1:2">
      <c r="A42" s="18" t="s">
        <v>416</v>
      </c>
      <c r="B42">
        <v>1</v>
      </c>
    </row>
    <row r="43" spans="1:2">
      <c r="A43" s="18" t="s">
        <v>300</v>
      </c>
      <c r="B43">
        <v>1</v>
      </c>
    </row>
    <row r="44" spans="1:2">
      <c r="A44" s="18" t="s">
        <v>302</v>
      </c>
      <c r="B44">
        <v>1</v>
      </c>
    </row>
    <row r="45" spans="1:2">
      <c r="A45" s="18" t="s">
        <v>469</v>
      </c>
      <c r="B45">
        <v>1</v>
      </c>
    </row>
    <row r="46" spans="1:2">
      <c r="A46" s="18" t="s">
        <v>418</v>
      </c>
      <c r="B46">
        <v>1</v>
      </c>
    </row>
    <row r="47" spans="1:2">
      <c r="A47" s="18" t="s">
        <v>304</v>
      </c>
      <c r="B47">
        <v>1</v>
      </c>
    </row>
    <row r="48" spans="1:2">
      <c r="A48" s="18" t="s">
        <v>417</v>
      </c>
      <c r="B48">
        <v>1</v>
      </c>
    </row>
    <row r="49" spans="1:2">
      <c r="A49" s="18" t="s">
        <v>96</v>
      </c>
      <c r="B49">
        <v>1</v>
      </c>
    </row>
    <row r="50" spans="1:2">
      <c r="A50" s="18" t="s">
        <v>476</v>
      </c>
      <c r="B50">
        <v>513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7963-996E-4980-9951-CEB439F319F2}">
  <dimension ref="A10:C27"/>
  <sheetViews>
    <sheetView workbookViewId="0">
      <selection activeCell="D19" sqref="D19"/>
    </sheetView>
  </sheetViews>
  <sheetFormatPr defaultRowHeight="14.45"/>
  <cols>
    <col min="1" max="1" width="32" bestFit="1" customWidth="1"/>
  </cols>
  <sheetData>
    <row r="10" spans="1:3">
      <c r="A10" s="1" t="s">
        <v>56</v>
      </c>
      <c r="C10" s="4" t="s">
        <v>16</v>
      </c>
    </row>
    <row r="11" spans="1:3">
      <c r="A11" s="2" t="s">
        <v>18</v>
      </c>
      <c r="C11" s="1" t="s">
        <v>22</v>
      </c>
    </row>
    <row r="12" spans="1:3">
      <c r="A12" s="3" t="s">
        <v>190</v>
      </c>
      <c r="C12" s="2" t="s">
        <v>71</v>
      </c>
    </row>
    <row r="13" spans="1:3">
      <c r="A13" s="4" t="s">
        <v>480</v>
      </c>
    </row>
    <row r="15" spans="1:3">
      <c r="A15" s="2" t="s">
        <v>19</v>
      </c>
    </row>
    <row r="16" spans="1:3">
      <c r="A16" s="2" t="s">
        <v>57</v>
      </c>
    </row>
    <row r="17" spans="1:1">
      <c r="A17" s="4" t="s">
        <v>87</v>
      </c>
    </row>
    <row r="18" spans="1:1">
      <c r="A18" s="1" t="s">
        <v>214</v>
      </c>
    </row>
    <row r="20" spans="1:1">
      <c r="A20" s="13" t="s">
        <v>54</v>
      </c>
    </row>
    <row r="21" spans="1:1">
      <c r="A21" s="13" t="s">
        <v>13</v>
      </c>
    </row>
    <row r="22" spans="1:1">
      <c r="A22" s="13" t="s">
        <v>98</v>
      </c>
    </row>
    <row r="23" spans="1:1">
      <c r="A23" s="13" t="s">
        <v>431</v>
      </c>
    </row>
    <row r="24" spans="1:1">
      <c r="A24" s="13" t="s">
        <v>310</v>
      </c>
    </row>
    <row r="26" spans="1:1">
      <c r="A26" t="s">
        <v>17</v>
      </c>
    </row>
    <row r="27" spans="1:1">
      <c r="A27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3c4a2c-bda4-4679-b2d9-0a9d018ff446">
      <Terms xmlns="http://schemas.microsoft.com/office/infopath/2007/PartnerControls"/>
    </lcf76f155ced4ddcb4097134ff3c332f>
    <TaxCatchAll xmlns="c14ab705-d10e-4347-929d-b1d67fe601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4AE2E3CF8D21429AB473F1B66CB23E" ma:contentTypeVersion="14" ma:contentTypeDescription="Crie um novo documento." ma:contentTypeScope="" ma:versionID="a25773464c8009e3c913bdd9fe233fc6">
  <xsd:schema xmlns:xsd="http://www.w3.org/2001/XMLSchema" xmlns:xs="http://www.w3.org/2001/XMLSchema" xmlns:p="http://schemas.microsoft.com/office/2006/metadata/properties" xmlns:ns2="333c4a2c-bda4-4679-b2d9-0a9d018ff446" xmlns:ns3="c14ab705-d10e-4347-929d-b1d67fe60127" targetNamespace="http://schemas.microsoft.com/office/2006/metadata/properties" ma:root="true" ma:fieldsID="2873731f0542ad0ae5a5db78b388b69c" ns2:_="" ns3:_="">
    <xsd:import namespace="333c4a2c-bda4-4679-b2d9-0a9d018ff446"/>
    <xsd:import namespace="c14ab705-d10e-4347-929d-b1d67fe60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c4a2c-bda4-4679-b2d9-0a9d018ff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ec7be7-b057-4934-bc11-09b09dd5ba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ab705-d10e-4347-929d-b1d67fe60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9c43b60-7b9c-4c8b-b6fd-275edcb2c8ce}" ma:internalName="TaxCatchAll" ma:showField="CatchAllData" ma:web="c14ab705-d10e-4347-929d-b1d67fe60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CE9EF2-1096-420C-A9D8-2B1C0211222D}"/>
</file>

<file path=customXml/itemProps2.xml><?xml version="1.0" encoding="utf-8"?>
<ds:datastoreItem xmlns:ds="http://schemas.openxmlformats.org/officeDocument/2006/customXml" ds:itemID="{0B717907-DA91-41FD-B39E-894C2A8383E4}"/>
</file>

<file path=customXml/itemProps3.xml><?xml version="1.0" encoding="utf-8"?>
<ds:datastoreItem xmlns:ds="http://schemas.openxmlformats.org/officeDocument/2006/customXml" ds:itemID="{54F18D14-AB40-4AF5-A326-9E095D230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Tiago Ribeiro</cp:lastModifiedBy>
  <cp:revision/>
  <dcterms:created xsi:type="dcterms:W3CDTF">2026-02-04T12:57:07Z</dcterms:created>
  <dcterms:modified xsi:type="dcterms:W3CDTF">2026-02-11T02:49:47Z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0x010100E84AE2E3CF8D21429AB473F1B66CB23E</vt:lpwstr>
  </property>
  <property fmtid="{D5CDD505-2E9C-101B-9397-08002B2CF9AE}" pid="3" name="MSIP_Label_0842cf04-2c31-45f8-9645-98774224a01b_Enabled">
    <vt:lpwstr>true</vt:lpwstr>
  </property>
  <property fmtid="{D5CDD505-2E9C-101B-9397-08002B2CF9AE}" pid="4" name="MSIP_Label_0842cf04-2c31-45f8-9645-98774224a01b_SetDate">
    <vt:lpwstr>2026-02-04T12:57:11Z</vt:lpwstr>
  </property>
  <property fmtid="{D5CDD505-2E9C-101B-9397-08002B2CF9AE}" pid="5" name="MSIP_Label_0842cf04-2c31-45f8-9645-98774224a01b_Method">
    <vt:lpwstr>Standard</vt:lpwstr>
  </property>
  <property fmtid="{D5CDD505-2E9C-101B-9397-08002B2CF9AE}" pid="6" name="MSIP_Label_0842cf04-2c31-45f8-9645-98774224a01b_Name">
    <vt:lpwstr>Restrito</vt:lpwstr>
  </property>
  <property fmtid="{D5CDD505-2E9C-101B-9397-08002B2CF9AE}" pid="7" name="MSIP_Label_0842cf04-2c31-45f8-9645-98774224a01b_SiteId">
    <vt:lpwstr>7ec496a7-d14b-4f3b-a48c-8b7478b1e3e6</vt:lpwstr>
  </property>
  <property fmtid="{D5CDD505-2E9C-101B-9397-08002B2CF9AE}" pid="8" name="MSIP_Label_0842cf04-2c31-45f8-9645-98774224a01b_ActionId">
    <vt:lpwstr>93101ba5-170c-4a36-ab22-2704f6d7ff05</vt:lpwstr>
  </property>
  <property fmtid="{D5CDD505-2E9C-101B-9397-08002B2CF9AE}" pid="9" name="MSIP_Label_0842cf04-2c31-45f8-9645-98774224a01b_ContentBits">
    <vt:lpwstr>2</vt:lpwstr>
  </property>
  <property fmtid="{D5CDD505-2E9C-101B-9397-08002B2CF9AE}" pid="10" name="MSIP_Label_0842cf04-2c31-45f8-9645-98774224a01b_Tag">
    <vt:lpwstr>10, 3, 0, 2</vt:lpwstr>
  </property>
  <property fmtid="{D5CDD505-2E9C-101B-9397-08002B2CF9AE}" pid="11" name="MediaServiceImageTags">
    <vt:lpwstr/>
  </property>
</Properties>
</file>